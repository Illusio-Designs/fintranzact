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Fivera\hisaabo\docs\qa\"/>
    </mc:Choice>
  </mc:AlternateContent>
  <xr:revisionPtr revIDLastSave="0" documentId="13_ncr:1_{543BB539-9409-4FFB-B343-FD3CC3CDCC52}"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 name="Test Data &amp; Setup" sheetId="3" r:id="rId3"/>
    <sheet name="Page Inventory" sheetId="4" r:id="rId4"/>
  </sheets>
  <definedNames>
    <definedName name="_xlnm._FilterDatabase" localSheetId="0" hidden="1">'Test Cases'!$A$1:$O$276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2" l="1"/>
  <c r="F26" i="2"/>
  <c r="E26" i="2"/>
  <c r="D26" i="2"/>
  <c r="C26" i="2"/>
  <c r="B26" i="2"/>
  <c r="H26" i="2" s="1"/>
  <c r="G25" i="2"/>
  <c r="F25" i="2"/>
  <c r="E25" i="2"/>
  <c r="D25" i="2"/>
  <c r="C25" i="2"/>
  <c r="B25" i="2"/>
  <c r="H25" i="2" s="1"/>
  <c r="G24" i="2"/>
  <c r="F24" i="2"/>
  <c r="E24" i="2"/>
  <c r="D24" i="2"/>
  <c r="C24" i="2"/>
  <c r="B24" i="2"/>
  <c r="H24" i="2" s="1"/>
  <c r="G23" i="2"/>
  <c r="F23" i="2"/>
  <c r="E23" i="2"/>
  <c r="D23" i="2"/>
  <c r="C23" i="2"/>
  <c r="B23" i="2"/>
  <c r="H23" i="2" s="1"/>
  <c r="G22" i="2"/>
  <c r="F22" i="2"/>
  <c r="E22" i="2"/>
  <c r="D22" i="2"/>
  <c r="C22" i="2"/>
  <c r="B22" i="2"/>
  <c r="H22" i="2" s="1"/>
  <c r="G21" i="2"/>
  <c r="F21" i="2"/>
  <c r="E21" i="2"/>
  <c r="D21" i="2"/>
  <c r="C21" i="2"/>
  <c r="B21" i="2"/>
  <c r="G20" i="2"/>
  <c r="F20" i="2"/>
  <c r="E20" i="2"/>
  <c r="D20" i="2"/>
  <c r="C20" i="2"/>
  <c r="B20" i="2"/>
  <c r="G19" i="2"/>
  <c r="F19" i="2"/>
  <c r="E19" i="2"/>
  <c r="D19" i="2"/>
  <c r="C19" i="2"/>
  <c r="B19" i="2"/>
  <c r="H19" i="2" s="1"/>
  <c r="G18" i="2"/>
  <c r="F18" i="2"/>
  <c r="E18" i="2"/>
  <c r="D18" i="2"/>
  <c r="C18" i="2"/>
  <c r="B18" i="2"/>
  <c r="H18" i="2" s="1"/>
  <c r="G17" i="2"/>
  <c r="F17" i="2"/>
  <c r="E17" i="2"/>
  <c r="D17" i="2"/>
  <c r="C17" i="2"/>
  <c r="B17" i="2"/>
  <c r="H17" i="2" s="1"/>
  <c r="G16" i="2"/>
  <c r="F16" i="2"/>
  <c r="E16" i="2"/>
  <c r="D16" i="2"/>
  <c r="C16" i="2"/>
  <c r="B16" i="2"/>
  <c r="H16" i="2" s="1"/>
  <c r="G15" i="2"/>
  <c r="F15" i="2"/>
  <c r="E15" i="2"/>
  <c r="D15" i="2"/>
  <c r="C15" i="2"/>
  <c r="B15" i="2"/>
  <c r="H15" i="2" s="1"/>
  <c r="G14" i="2"/>
  <c r="F14" i="2"/>
  <c r="E14" i="2"/>
  <c r="D14" i="2"/>
  <c r="C14" i="2"/>
  <c r="B14" i="2"/>
  <c r="G13" i="2"/>
  <c r="F13" i="2"/>
  <c r="E13" i="2"/>
  <c r="D13" i="2"/>
  <c r="C13" i="2"/>
  <c r="B13" i="2"/>
  <c r="H13" i="2" s="1"/>
  <c r="G12" i="2"/>
  <c r="F12" i="2"/>
  <c r="E12" i="2"/>
  <c r="D12" i="2"/>
  <c r="C12" i="2"/>
  <c r="B12" i="2"/>
  <c r="H12" i="2" s="1"/>
  <c r="G11" i="2"/>
  <c r="F11" i="2"/>
  <c r="E11" i="2"/>
  <c r="D11" i="2"/>
  <c r="C11" i="2"/>
  <c r="B11" i="2"/>
  <c r="H11" i="2" s="1"/>
  <c r="G10" i="2"/>
  <c r="F10" i="2"/>
  <c r="E10" i="2"/>
  <c r="D10" i="2"/>
  <c r="C10" i="2"/>
  <c r="B10" i="2"/>
  <c r="H10" i="2" s="1"/>
  <c r="G9" i="2"/>
  <c r="F9" i="2"/>
  <c r="E9" i="2"/>
  <c r="D9" i="2"/>
  <c r="C9" i="2"/>
  <c r="B9" i="2"/>
  <c r="H9" i="2" s="1"/>
  <c r="G8" i="2"/>
  <c r="H8" i="2" s="1"/>
  <c r="F8" i="2"/>
  <c r="E8" i="2"/>
  <c r="D8" i="2"/>
  <c r="C8" i="2"/>
  <c r="B8" i="2"/>
  <c r="G7" i="2"/>
  <c r="F7" i="2"/>
  <c r="E7" i="2"/>
  <c r="D7" i="2"/>
  <c r="C7" i="2"/>
  <c r="B7" i="2"/>
  <c r="G6" i="2"/>
  <c r="F6" i="2"/>
  <c r="E6" i="2"/>
  <c r="D6" i="2"/>
  <c r="C6" i="2"/>
  <c r="B6" i="2"/>
  <c r="H6" i="2" s="1"/>
  <c r="G5" i="2"/>
  <c r="F5" i="2"/>
  <c r="E5" i="2"/>
  <c r="D5" i="2"/>
  <c r="C5" i="2"/>
  <c r="B5" i="2"/>
  <c r="H5" i="2" s="1"/>
  <c r="G4" i="2"/>
  <c r="F4" i="2"/>
  <c r="E4" i="2"/>
  <c r="D4" i="2"/>
  <c r="C4" i="2"/>
  <c r="B4" i="2"/>
  <c r="H4" i="2" s="1"/>
  <c r="G3" i="2"/>
  <c r="F3" i="2"/>
  <c r="E3" i="2"/>
  <c r="D3" i="2"/>
  <c r="C3" i="2"/>
  <c r="B3" i="2"/>
  <c r="H3" i="2" s="1"/>
  <c r="G2" i="2"/>
  <c r="F2" i="2"/>
  <c r="E2" i="2"/>
  <c r="D2" i="2"/>
  <c r="C2" i="2"/>
  <c r="B2" i="2"/>
  <c r="H21" i="2" l="1"/>
  <c r="H20" i="2"/>
  <c r="H14" i="2"/>
  <c r="H7" i="2"/>
  <c r="G27" i="2"/>
  <c r="F27" i="2"/>
  <c r="E27" i="2"/>
  <c r="D27" i="2"/>
  <c r="C27" i="2"/>
  <c r="B27" i="2"/>
  <c r="H2" i="2"/>
  <c r="H27" i="2" l="1"/>
</calcChain>
</file>

<file path=xl/sharedStrings.xml><?xml version="1.0" encoding="utf-8"?>
<sst xmlns="http://schemas.openxmlformats.org/spreadsheetml/2006/main" count="2800" uniqueCount="1054">
  <si>
    <t>Test Case No</t>
  </si>
  <si>
    <t>Module</t>
  </si>
  <si>
    <t>Page / URL</t>
  </si>
  <si>
    <t>Test Type</t>
  </si>
  <si>
    <t>Priority</t>
  </si>
  <si>
    <t>Preconditions</t>
  </si>
  <si>
    <t>Test Case (Steps)</t>
  </si>
  <si>
    <t>Expected Result</t>
  </si>
  <si>
    <t>Output (Actual Result)</t>
  </si>
  <si>
    <t>Status</t>
  </si>
  <si>
    <t>Browser / Device</t>
  </si>
  <si>
    <t>Tested By</t>
  </si>
  <si>
    <t>Tested On</t>
  </si>
  <si>
    <t>Defect / Bug ID</t>
  </si>
  <si>
    <t>Remarks</t>
  </si>
  <si>
    <t>TC-HOME-001</t>
  </si>
  <si>
    <t>Home</t>
  </si>
  <si>
    <t>/</t>
  </si>
  <si>
    <t>Functional</t>
  </si>
  <si>
    <t>High</t>
  </si>
  <si>
    <t>Signed out</t>
  </si>
  <si>
    <t>Open the site root</t>
  </si>
  <si>
    <t>Home page loads with hero, nav bar, feature sections, pricing teaser and footer; no console errors; tab title is set</t>
  </si>
  <si>
    <t>Not Run</t>
  </si>
  <si>
    <t>TC-HOME-002</t>
  </si>
  <si>
    <t>Click each nav item (Features, Solutions, Pricing, About, Contact, Help, Developers)</t>
  </si>
  <si>
    <t>Each navigates to the correct page; active item is highlighted</t>
  </si>
  <si>
    <t>TC-HOME-003</t>
  </si>
  <si>
    <t>Click 'Log in' and 'Register / Get started' buttons in header and in hero</t>
  </si>
  <si>
    <t>Go to /login and /register respectively</t>
  </si>
  <si>
    <t>TC-HOME-004</t>
  </si>
  <si>
    <t>Medium</t>
  </si>
  <si>
    <t>Click every CTA button in each home section and the bottom CTA band</t>
  </si>
  <si>
    <t>Every CTA goes to a valid page (no 404 / dead link)</t>
  </si>
  <si>
    <t>TC-HOME-005</t>
  </si>
  <si>
    <t>Scroll the full page and click each in-page anchor / section link</t>
  </si>
  <si>
    <t>Smooth scroll to the right section; no jump to wrong place</t>
  </si>
  <si>
    <t>TC-HOME-006</t>
  </si>
  <si>
    <t>Click every footer link (product, company, legal, social)</t>
  </si>
  <si>
    <t>All links work; external links open in a new tab; legal links open Privacy, Terms, Refund policy</t>
  </si>
  <si>
    <t>TC-HOME-007</t>
  </si>
  <si>
    <t>Signed in</t>
  </si>
  <si>
    <t>Open / while signed in</t>
  </si>
  <si>
    <t>Signed-in user sees the app dashboard (or onboarding / plan selection if incomplete), not the marketing page</t>
  </si>
  <si>
    <t>TC-HOME-008</t>
  </si>
  <si>
    <t>UI / Layout</t>
  </si>
  <si>
    <t>Low</t>
  </si>
  <si>
    <t>Toggle dark / light theme (if theme toggle present)</t>
  </si>
  <si>
    <t>Theme switches; text contrast stays readable; choice persists on refresh</t>
  </si>
  <si>
    <t>TC-HOME-009</t>
  </si>
  <si>
    <t>Responsive</t>
  </si>
  <si>
    <t>View at 375px, 768px, 1280px, 1920px widths</t>
  </si>
  <si>
    <t>No horizontal scroll; hamburger menu appears on mobile; images and cards reflow</t>
  </si>
  <si>
    <t>TC-HOME-010</t>
  </si>
  <si>
    <t>On mobile open the hamburger menu, tap a link, then tap outside</t>
  </si>
  <si>
    <t>Menu opens, link navigates and menu closes; no scroll lock left behind</t>
  </si>
  <si>
    <t>TC-HOME-011</t>
  </si>
  <si>
    <t>Performance</t>
  </si>
  <si>
    <t>Hard refresh on a slow 3G throttle</t>
  </si>
  <si>
    <t>Page shows content progressively; images lazy-load; no layout shift on load</t>
  </si>
  <si>
    <t>TC-HOME-012</t>
  </si>
  <si>
    <t>SEO</t>
  </si>
  <si>
    <t>View page source / inspect head</t>
  </si>
  <si>
    <t>Title, meta description, canonical, Open Graph tags present</t>
  </si>
  <si>
    <t>TC-GLB-001</t>
  </si>
  <si>
    <t>Global / Routing</t>
  </si>
  <si>
    <t>/does-not-exist</t>
  </si>
  <si>
    <t>Error handling</t>
  </si>
  <si>
    <t>Open a random non-existent URL e.g. /abc123</t>
  </si>
  <si>
    <t>Friendly 404 / not-found page with link back to home; not a blank screen</t>
  </si>
  <si>
    <t>TC-GLB-002</t>
  </si>
  <si>
    <t>/features/xyz</t>
  </si>
  <si>
    <t>Open /features/unknown-slug</t>
  </si>
  <si>
    <t>Not-found page shown inside the marketing layout</t>
  </si>
  <si>
    <t>TC-GLB-003</t>
  </si>
  <si>
    <t>/solutions/xyz</t>
  </si>
  <si>
    <t>Open /solutions/unknown-slug</t>
  </si>
  <si>
    <t>Not-found page shown</t>
  </si>
  <si>
    <t>TC-GLB-004</t>
  </si>
  <si>
    <t>/help/xyz</t>
  </si>
  <si>
    <t>Open /help/unknown-article</t>
  </si>
  <si>
    <t>Help not-found state with search / link back to help home</t>
  </si>
  <si>
    <t>TC-GLB-005</t>
  </si>
  <si>
    <t>/pricing/</t>
  </si>
  <si>
    <t>Open URL with trailing slash (/pricing/, /about/)</t>
  </si>
  <si>
    <t>Same page as without the slash; no 404</t>
  </si>
  <si>
    <t>TC-GLB-006</t>
  </si>
  <si>
    <t>/PRICING</t>
  </si>
  <si>
    <t>Open URL in upper case</t>
  </si>
  <si>
    <t>Behaviour is consistent (loads page or clean 404); no crash</t>
  </si>
  <si>
    <t>TC-GLB-007</t>
  </si>
  <si>
    <t>(any)</t>
  </si>
  <si>
    <t>Use browser Back / Forward across several public pages</t>
  </si>
  <si>
    <t>History works correctly; scroll position sensible; no stale content</t>
  </si>
  <si>
    <t>TC-GLB-008</t>
  </si>
  <si>
    <t>Reload (F5) on each public page, especially deep links</t>
  </si>
  <si>
    <t>Page renders (SPA fallback works); no 404 from server</t>
  </si>
  <si>
    <t>TC-GLB-009</t>
  </si>
  <si>
    <t>Open a public page in a new tab via right-click on a link</t>
  </si>
  <si>
    <t>Opens correctly as a direct URL</t>
  </si>
  <si>
    <t>TC-GLB-010</t>
  </si>
  <si>
    <t>/login, /register</t>
  </si>
  <si>
    <t>Open /login or /register while already signed in</t>
  </si>
  <si>
    <t>Redirects to the app (or shows a clear state); does not show the login form to a signed-in user</t>
  </si>
  <si>
    <t>TC-GLB-011</t>
  </si>
  <si>
    <t>/invoices, /settings, /parties</t>
  </si>
  <si>
    <t>Security</t>
  </si>
  <si>
    <t>Open private routes directly e.g. /invoices, /settings, /parties</t>
  </si>
  <si>
    <t>Redirected to /login; no private data flashes on screen</t>
  </si>
  <si>
    <t>TC-GLB-012</t>
  </si>
  <si>
    <t>Check header/footer on all breakpoints</t>
  </si>
  <si>
    <t>Header does not overlap content; footer columns stack on mobile</t>
  </si>
  <si>
    <t>TC-GLB-013</t>
  </si>
  <si>
    <t>Accessibility</t>
  </si>
  <si>
    <t>Navigate the whole page with Tab / Shift+Tab / Enter only</t>
  </si>
  <si>
    <t>Visible focus ring; logical order; menus operable by keyboard; skip-link if present</t>
  </si>
  <si>
    <t>TC-GLB-014</t>
  </si>
  <si>
    <t>Check browser tab title and favicon on each page</t>
  </si>
  <si>
    <t>Each page has a unique, relevant title; favicon shows</t>
  </si>
  <si>
    <t>TC-GLB-015</t>
  </si>
  <si>
    <t>Compatibility</t>
  </si>
  <si>
    <t>Repeat smoke test on Chrome, Edge, Firefox, Safari (and iOS Safari / Android Chrome)</t>
  </si>
  <si>
    <t>Pages render and work the same on all</t>
  </si>
  <si>
    <t>TC-GLB-016</t>
  </si>
  <si>
    <t>Go offline (DevTools) and navigate / submit a form</t>
  </si>
  <si>
    <t>Clear error message; page does not crash; works again when back online</t>
  </si>
  <si>
    <t>TC-LOGIN-001</t>
  </si>
  <si>
    <t>Login</t>
  </si>
  <si>
    <t>/login</t>
  </si>
  <si>
    <t>Open /login</t>
  </si>
  <si>
    <t>Form shows Email, Password (masked), 'Email me a sign-in link', Log in button, Register tab; email field auto-focused</t>
  </si>
  <si>
    <t>TC-LOGIN-002</t>
  </si>
  <si>
    <t>Verified account exists</t>
  </si>
  <si>
    <t>Enter valid email + correct password, click Log in</t>
  </si>
  <si>
    <t>Button shows 'Logging in...', then lands on dashboard (/); session persists on refresh</t>
  </si>
  <si>
    <t>TC-LOGIN-003</t>
  </si>
  <si>
    <t>Account exists</t>
  </si>
  <si>
    <t>Enter valid email + wrong password</t>
  </si>
  <si>
    <t>Error banner shown (generic invalid credentials message); no navigation</t>
  </si>
  <si>
    <t>TC-LOGIN-004</t>
  </si>
  <si>
    <t>Enter an email that is not registered + any password</t>
  </si>
  <si>
    <t>Error banner; message must not reveal whether the email exists</t>
  </si>
  <si>
    <t>TC-LOGIN-005</t>
  </si>
  <si>
    <t>Validation</t>
  </si>
  <si>
    <t>Leave both fields empty and click Log in</t>
  </si>
  <si>
    <t>Browser/required validation blocks submit on email</t>
  </si>
  <si>
    <t>TC-LOGIN-006</t>
  </si>
  <si>
    <t>Enter email 'abc' / 'abc@' / 'abc@x' and submit</t>
  </si>
  <si>
    <t>Invalid email rejected</t>
  </si>
  <si>
    <t>TC-LOGIN-007</t>
  </si>
  <si>
    <t>Enter password with fewer than 8 characters</t>
  </si>
  <si>
    <t>Blocked with min-length validation</t>
  </si>
  <si>
    <t>TC-LOGIN-008</t>
  </si>
  <si>
    <t>Enter email with leading/trailing spaces and different case, e.g. ' User@Mail.com '</t>
  </si>
  <si>
    <t>Login works (trimmed and case-insensitive) or a clear message</t>
  </si>
  <si>
    <t>TC-LOGIN-009</t>
  </si>
  <si>
    <t>Click the eye icon in the password box</t>
  </si>
  <si>
    <t>Password toggles visible / hidden; focus stays in field</t>
  </si>
  <si>
    <t>TC-LOGIN-010</t>
  </si>
  <si>
    <t>Press Enter in the password field</t>
  </si>
  <si>
    <t>Form submits (same as clicking Log in)</t>
  </si>
  <si>
    <t>TC-LOGIN-011</t>
  </si>
  <si>
    <t>Double-click Log in rapidly</t>
  </si>
  <si>
    <t>Only one request; button disabled while pending</t>
  </si>
  <si>
    <t>TC-LOGIN-012</t>
  </si>
  <si>
    <t>Click 'Email me a sign-in link' with email empty</t>
  </si>
  <si>
    <t>Error: 'Enter your email address first, then we'll send you a sign-in link.'</t>
  </si>
  <si>
    <t>TC-LOGIN-013</t>
  </si>
  <si>
    <t>Enter email and click 'Email me a sign-in link'; complete bot check</t>
  </si>
  <si>
    <t>Bot check (Turnstile) modal appears; after passing, banner 'We sent a sign-in link to &lt;email&gt;'; button shows 'Resend link in 60s' countdown</t>
  </si>
  <si>
    <t>TC-LOGIN-014</t>
  </si>
  <si>
    <t>Close the bot-check modal without completing it</t>
  </si>
  <si>
    <t>Modal closes; no email sent; page still usable; can retry</t>
  </si>
  <si>
    <t>TC-LOGIN-015</t>
  </si>
  <si>
    <t>During the 60s cooldown try clicking the link button</t>
  </si>
  <si>
    <t>Button disabled; counts down; re-enabled at 0</t>
  </si>
  <si>
    <t>TC-LOGIN-016</t>
  </si>
  <si>
    <t>Request a link for an email not registered</t>
  </si>
  <si>
    <t>Behaviour is safe (creates account flow or generic message); no crash</t>
  </si>
  <si>
    <t>TC-LOGIN-017</t>
  </si>
  <si>
    <t>Request sign-in link many times quickly (spam)</t>
  </si>
  <si>
    <t>Rate limiting kicks in with a friendly message</t>
  </si>
  <si>
    <t>TC-LOGIN-018</t>
  </si>
  <si>
    <t>Try SQL / script payloads in email and password e.g. ' OR 1=1 -- and &lt;script&gt;alert(1)&lt;/script&gt;</t>
  </si>
  <si>
    <t>Rejected or treated as plain text; no script executes; no 500 error</t>
  </si>
  <si>
    <t>TC-LOGIN-019</t>
  </si>
  <si>
    <t>Inspect the password field and network call</t>
  </si>
  <si>
    <t>Password never in URL / query string; type=password; request over HTTPS</t>
  </si>
  <si>
    <t>TC-LOGIN-020</t>
  </si>
  <si>
    <t>Try 10+ wrong passwords in a row</t>
  </si>
  <si>
    <t>Account/IP throttled or locked with a clear message</t>
  </si>
  <si>
    <t>TC-LOGIN-021</t>
  </si>
  <si>
    <t>Click 'Create a free account' link and 'Register' tab</t>
  </si>
  <si>
    <t>Goes to /register; ?invite / ?ref params preserved</t>
  </si>
  <si>
    <t>TC-LOGIN-022</t>
  </si>
  <si>
    <t>Open /login?mode=register</t>
  </si>
  <si>
    <t>Redirects to /register</t>
  </si>
  <si>
    <t>TC-LOGIN-023</t>
  </si>
  <si>
    <t>Session expired</t>
  </si>
  <si>
    <t>Be signed in, invalidate session (sign in on another device), then use the app</t>
  </si>
  <si>
    <t>Redirected to /login with amber banner 'Your session ended...'; banner does not reappear after refresh</t>
  </si>
  <si>
    <t>TC-LOGIN-024</t>
  </si>
  <si>
    <t>Open /login?invite=abc</t>
  </si>
  <si>
    <t>Blue banner: log in to accept your invitation / register with invited email</t>
  </si>
  <si>
    <t>TC-LOGIN-025</t>
  </si>
  <si>
    <t>Open /login?invite=abc&amp;error=email_mismatch</t>
  </si>
  <si>
    <t>Red banner: invitation sent to a different email address</t>
  </si>
  <si>
    <t>TC-LOGIN-026</t>
  </si>
  <si>
    <t>Click the logo (left panel / mobile logo)</t>
  </si>
  <si>
    <t>Goes to home page</t>
  </si>
  <si>
    <t>TC-LOGIN-027</t>
  </si>
  <si>
    <t>Browser password manager</t>
  </si>
  <si>
    <t>Save and auto-fill credentials</t>
  </si>
  <si>
    <t>Auto-fill works for email and password</t>
  </si>
  <si>
    <t>TC-LOGIN-028</t>
  </si>
  <si>
    <t>Check left brand panel on desktop</t>
  </si>
  <si>
    <t>Panel visible on large screens; hidden on tablet/mobile with logo shown instead</t>
  </si>
  <si>
    <t>TC-LOGIN-029</t>
  </si>
  <si>
    <t>Open at 320px / 375px width</t>
  </si>
  <si>
    <t>Form fully visible; no overflow; keyboard doesn't cover the Log in button</t>
  </si>
  <si>
    <t>TC-LOGIN-030</t>
  </si>
  <si>
    <t>Use a screen reader / Tab through form</t>
  </si>
  <si>
    <t>Labels read correctly; errors announced (role=alert)</t>
  </si>
  <si>
    <t>TC-LOGIN-031</t>
  </si>
  <si>
    <t>Suspended / disabled account</t>
  </si>
  <si>
    <t>Log in with a suspended or disabled account</t>
  </si>
  <si>
    <t>Clear error message; no access</t>
  </si>
  <si>
    <t>TC-LOGIN-032</t>
  </si>
  <si>
    <t>Check tab title</t>
  </si>
  <si>
    <t>Title reads 'Log in - Fintranzact'</t>
  </si>
  <si>
    <t>TC-REG-001</t>
  </si>
  <si>
    <t>Register</t>
  </si>
  <si>
    <t>/register</t>
  </si>
  <si>
    <t>Open /register</t>
  </si>
  <si>
    <t>Fields: Username, Referral code (optional), Email, Password, Retype password; strength meter; Terms and Privacy links; 'Register' tab active</t>
  </si>
  <si>
    <t>TC-REG-002</t>
  </si>
  <si>
    <t>Fill all fields with valid new data and click 'Create free account'; pass bot check</t>
  </si>
  <si>
    <t>Account created, button shows 'Creating your account...', lands on /auth/plan-selection, session active</t>
  </si>
  <si>
    <t>TC-REG-003</t>
  </si>
  <si>
    <t>Submit with empty username</t>
  </si>
  <si>
    <t>Error 'Username is required' (or required validation)</t>
  </si>
  <si>
    <t>TC-REG-004</t>
  </si>
  <si>
    <t>Username with only spaces</t>
  </si>
  <si>
    <t>Rejected as empty</t>
  </si>
  <si>
    <t>TC-REG-005</t>
  </si>
  <si>
    <t>Very long username (200+ chars), special chars, emoji, unicode (Hindi / Gujarati)</t>
  </si>
  <si>
    <t>Handled gracefully: accepted or clear validation message; no crash</t>
  </si>
  <si>
    <t>TC-REG-006</t>
  </si>
  <si>
    <t>Invalid emails: 'abc', 'a@b', 'a b@c.com', '@x.com'</t>
  </si>
  <si>
    <t>Rejected</t>
  </si>
  <si>
    <t>TC-REG-007</t>
  </si>
  <si>
    <t>Existing account</t>
  </si>
  <si>
    <t>Register with an email already registered</t>
  </si>
  <si>
    <t>Clear error (e.g. email already in use); no duplicate account</t>
  </si>
  <si>
    <t>TC-REG-008</t>
  </si>
  <si>
    <t>Register with same email in different case / with spaces</t>
  </si>
  <si>
    <t>Treated as the same email (duplicate detected)</t>
  </si>
  <si>
    <t>TC-REG-009</t>
  </si>
  <si>
    <t>Password shorter than 8 characters</t>
  </si>
  <si>
    <t>Blocked by min length</t>
  </si>
  <si>
    <t>TC-REG-010</t>
  </si>
  <si>
    <t>Password and Retype password differ</t>
  </si>
  <si>
    <t>Error 'Passwords don't match'; no request sent</t>
  </si>
  <si>
    <t>TC-REG-011</t>
  </si>
  <si>
    <t>Type passwords: 'abc', 'abcdefgh', 'Abcdefg1', 'Abcdef1!'</t>
  </si>
  <si>
    <t>Strength meter shows Too weak / Fair / Good / Strong with coloured bars; hint text shown when empty</t>
  </si>
  <si>
    <t>TC-REG-012</t>
  </si>
  <si>
    <t>Use a very weak 8-char password like 'aaaaaaaa' or '12345678'</t>
  </si>
  <si>
    <t>Accepted with 'Too weak' warning or rejected by server with message (note actual behaviour)</t>
  </si>
  <si>
    <t>TC-REG-013</t>
  </si>
  <si>
    <t>Click the eye icon on both password fields</t>
  </si>
  <si>
    <t>Each toggles independently</t>
  </si>
  <si>
    <t>TC-REG-014</t>
  </si>
  <si>
    <t>Open /register?ref=FTZ-7K2M9Q</t>
  </si>
  <si>
    <t>Referral field pre-filled; blue banner shows code in uppercase; code applied after sign-up</t>
  </si>
  <si>
    <t>TC-REG-015</t>
  </si>
  <si>
    <t>Open /register?ref= with a 60-character code</t>
  </si>
  <si>
    <t>Param ignored (limit 50 chars); page still loads</t>
  </si>
  <si>
    <t>TC-REG-016</t>
  </si>
  <si>
    <t>Enter an invalid / random referral code manually</t>
  </si>
  <si>
    <t>Clear message or code ignored; behaviour documented</t>
  </si>
  <si>
    <t>TC-REG-017</t>
  </si>
  <si>
    <t>Visit /register?ref=CODE, go to /login, then back to /register</t>
  </si>
  <si>
    <t>Referral code remembered for the visit</t>
  </si>
  <si>
    <t>TC-REG-018</t>
  </si>
  <si>
    <t>Leave referral blank</t>
  </si>
  <si>
    <t>Sign-up succeeds without referral</t>
  </si>
  <si>
    <t>TC-REG-019</t>
  </si>
  <si>
    <t>Open /register?invite=token</t>
  </si>
  <si>
    <t>Banner: create account with the email the invite was sent to; after sign-up invitation can be accepted</t>
  </si>
  <si>
    <t>TC-REG-020</t>
  </si>
  <si>
    <t>Close the bot-check modal without finishing</t>
  </si>
  <si>
    <t>No account created; form data retained</t>
  </si>
  <si>
    <t>TC-REG-021</t>
  </si>
  <si>
    <t>Click Terms and Privacy links in the form</t>
  </si>
  <si>
    <t>Open /terms and /privacy; entered form data not lost if opened in new tab</t>
  </si>
  <si>
    <t>TC-REG-022</t>
  </si>
  <si>
    <t>Double-click 'Create free account'</t>
  </si>
  <si>
    <t>Only one account created; button disabled while pending</t>
  </si>
  <si>
    <t>TC-REG-023</t>
  </si>
  <si>
    <t>Script / SQL payloads in username and email</t>
  </si>
  <si>
    <t>Not executed; escaped safely; no 500</t>
  </si>
  <si>
    <t>TC-REG-024</t>
  </si>
  <si>
    <t>After sign-up, check where the username is displayed</t>
  </si>
  <si>
    <t>Username HTML-escaped everywhere it is shown</t>
  </si>
  <si>
    <t>TC-REG-025</t>
  </si>
  <si>
    <t>Create many accounts from same IP quickly</t>
  </si>
  <si>
    <t>Rate limiting / bot protection works</t>
  </si>
  <si>
    <t>TC-REG-026</t>
  </si>
  <si>
    <t>Press Enter on any field</t>
  </si>
  <si>
    <t>Form submits (validation runs first)</t>
  </si>
  <si>
    <t>TC-REG-027</t>
  </si>
  <si>
    <t>Click 'Log in' link / tab from register</t>
  </si>
  <si>
    <t>Goes to /login; ?invite / ?ref preserved</t>
  </si>
  <si>
    <t>TC-REG-028</t>
  </si>
  <si>
    <t>After sign-up use browser Back</t>
  </si>
  <si>
    <t>Does not show filled register form with password; handled sensibly</t>
  </si>
  <si>
    <t>TC-REG-029</t>
  </si>
  <si>
    <t>Register on 320px / 375px / tablet</t>
  </si>
  <si>
    <t>All fields visible; 2-column row (username + referral) stacks on mobile</t>
  </si>
  <si>
    <t>TC-REG-030</t>
  </si>
  <si>
    <t>Keyboard-only sign-up</t>
  </si>
  <si>
    <t>Tab order Username, Referral, Email, Password, Retype, Submit</t>
  </si>
  <si>
    <t>TC-REG-031</t>
  </si>
  <si>
    <t>'Create your account - Fintranzact'</t>
  </si>
  <si>
    <t>TC-VER-001</t>
  </si>
  <si>
    <t>Sign-in link verification</t>
  </si>
  <si>
    <t>/auth/verify</t>
  </si>
  <si>
    <t>Received sign-in email</t>
  </si>
  <si>
    <t>Click the link in the email</t>
  </si>
  <si>
    <t>'Verifying your link...' spinner then redirected to dashboard (or complete-profile for new user); token removed from address bar</t>
  </si>
  <si>
    <t>TC-VER-002</t>
  </si>
  <si>
    <t>Open /auth/verify with no token</t>
  </si>
  <si>
    <t>Red 'Link expired or invalid' card, 'No token found in URL.' and 'Back to sign in' button</t>
  </si>
  <si>
    <t>TC-VER-003</t>
  </si>
  <si>
    <t>Open /auth/verify?token=garbage</t>
  </si>
  <si>
    <t>Error card 'Link expired or invalid' with message; button goes to /login</t>
  </si>
  <si>
    <t>TC-VER-004</t>
  </si>
  <si>
    <t>Used link</t>
  </si>
  <si>
    <t>Use the same valid link a second time</t>
  </si>
  <si>
    <t>Error - link already used</t>
  </si>
  <si>
    <t>TC-VER-005</t>
  </si>
  <si>
    <t>Old link</t>
  </si>
  <si>
    <t>Use a link after its expiry time</t>
  </si>
  <si>
    <t>Error - link expired</t>
  </si>
  <si>
    <t>TC-VER-006</t>
  </si>
  <si>
    <t>Two links requested</t>
  </si>
  <si>
    <t>Request a second link then use the first one</t>
  </si>
  <si>
    <t>Behaviour documented (older link invalid or still valid)</t>
  </si>
  <si>
    <t>TC-VER-007</t>
  </si>
  <si>
    <t>Reload the page right after verification</t>
  </si>
  <si>
    <t>Does not re-trigger the spent token; token no longer in URL (Referer safety)</t>
  </si>
  <si>
    <t>TC-VER-008</t>
  </si>
  <si>
    <t>Link opened from desktop/mobile app</t>
  </si>
  <si>
    <t>Open link with &amp;source=desktop or &amp;source=mobile</t>
  </si>
  <si>
    <t>'Opening Fintranzact...' hand-off page with 'Open app' and 'Sign in here in the browser instead' buttons; browser option logs in</t>
  </si>
  <si>
    <t>TC-VER-009</t>
  </si>
  <si>
    <t>Pending invite</t>
  </si>
  <si>
    <t>Verify link when an invite was pending</t>
  </si>
  <si>
    <t>After verification user is taken to the invite acceptance flow</t>
  </si>
  <si>
    <t>TC-VER-010</t>
  </si>
  <si>
    <t>New email</t>
  </si>
  <si>
    <t>Verify a link for a brand-new user</t>
  </si>
  <si>
    <t>Redirected to /auth/complete-profile</t>
  </si>
  <si>
    <t>TC-VER-011</t>
  </si>
  <si>
    <t>Click 'Back to sign in' on the error card</t>
  </si>
  <si>
    <t>Goes to /login</t>
  </si>
  <si>
    <t>TC-PROF-001</t>
  </si>
  <si>
    <t>Complete profile</t>
  </si>
  <si>
    <t>/auth/complete-profile</t>
  </si>
  <si>
    <t>Signed in via link, no name</t>
  </si>
  <si>
    <t>Open the page / arrive after first sign-in</t>
  </si>
  <si>
    <t>Shows 'Your name' field only; no flash of other steps</t>
  </si>
  <si>
    <t>TC-PROF-002</t>
  </si>
  <si>
    <t>Same</t>
  </si>
  <si>
    <t>Enter 1 character and submit</t>
  </si>
  <si>
    <t>Error 'Name must be at least 2 characters'</t>
  </si>
  <si>
    <t>TC-PROF-003</t>
  </si>
  <si>
    <t>Enter only spaces</t>
  </si>
  <si>
    <t>TC-PROF-004</t>
  </si>
  <si>
    <t>Enter 'Raj Kumar' and submit</t>
  </si>
  <si>
    <t>Saved; moves to next step / app; name shown in the app header</t>
  </si>
  <si>
    <t>TC-PROF-005</t>
  </si>
  <si>
    <t>Enter very long name / special characters / emoji</t>
  </si>
  <si>
    <t>Handled without crash</t>
  </si>
  <si>
    <t>TC-PROF-006</t>
  </si>
  <si>
    <t>Has invite</t>
  </si>
  <si>
    <t>Arrive with ?invite=1 and a pending invite</t>
  </si>
  <si>
    <t>Banner mentions the invited organisation; after name, choice screen appears</t>
  </si>
  <si>
    <t>TC-PROF-007</t>
  </si>
  <si>
    <t>Choose 'Continue with invited org' and 'Start fresh with a new business'</t>
  </si>
  <si>
    <t>Each goes to the right place</t>
  </si>
  <si>
    <t>TC-PROF-008</t>
  </si>
  <si>
    <t>User already has name</t>
  </si>
  <si>
    <t>Open the page again after saving a name</t>
  </si>
  <si>
    <t>Skips straight to next step or redirects; never shows the name form again</t>
  </si>
  <si>
    <t>TC-PROF-009</t>
  </si>
  <si>
    <t>Open the page signed out</t>
  </si>
  <si>
    <t>Redirected to /login</t>
  </si>
  <si>
    <t>TC-PROF-010</t>
  </si>
  <si>
    <t>Partner applicant</t>
  </si>
  <si>
    <t>Complete profile when the account came from a partner application</t>
  </si>
  <si>
    <t>Taken to the partner portal</t>
  </si>
  <si>
    <t>TC-PLAN-001</t>
  </si>
  <si>
    <t>Plan selection</t>
  </si>
  <si>
    <t>/auth/plan-selection</t>
  </si>
  <si>
    <t>Newly registered owner</t>
  </si>
  <si>
    <t>Open the page after registration</t>
  </si>
  <si>
    <t>Plans listed with name, tagline, price, features; Forever Free pre-selected</t>
  </si>
  <si>
    <t>TC-PLAN-002</t>
  </si>
  <si>
    <t>Click each plan card</t>
  </si>
  <si>
    <t>Selection highlights; feature list at bottom updates</t>
  </si>
  <si>
    <t>TC-PLAN-003</t>
  </si>
  <si>
    <t>Pick Forever Free and click Continue</t>
  </si>
  <si>
    <t>Plan saved; moves on to onboarding</t>
  </si>
  <si>
    <t>TC-PLAN-004</t>
  </si>
  <si>
    <t>Pick a paid plan (Pro / Business / Enterprise) and Continue</t>
  </si>
  <si>
    <t>Per design: starts on free plan or asked to contact; no payment taken; message is clear</t>
  </si>
  <si>
    <t>TC-PLAN-005</t>
  </si>
  <si>
    <t>Org already on paid plan</t>
  </si>
  <si>
    <t>Open page as owner of a paid org</t>
  </si>
  <si>
    <t>Page keeps current plan and does not downgrade to Forever Free</t>
  </si>
  <si>
    <t>TC-PLAN-006</t>
  </si>
  <si>
    <t>Invited member (not owner)</t>
  </si>
  <si>
    <t>Open page as a team member</t>
  </si>
  <si>
    <t>Cannot change plan; shows current plan / continues</t>
  </si>
  <si>
    <t>TC-PLAN-007</t>
  </si>
  <si>
    <t>API down</t>
  </si>
  <si>
    <t>Block the plans request</t>
  </si>
  <si>
    <t>Fallback plan list shown; page not empty</t>
  </si>
  <si>
    <t>TC-PLAN-008</t>
  </si>
  <si>
    <t>Open page signed out</t>
  </si>
  <si>
    <t>TC-PLAN-009</t>
  </si>
  <si>
    <t>Mobile width</t>
  </si>
  <si>
    <t>Cards stack; Continue button reachable</t>
  </si>
  <si>
    <t>TC-ONB-001</t>
  </si>
  <si>
    <t>Onboarding &amp; create business</t>
  </si>
  <si>
    <t>/onboarding, /business/create</t>
  </si>
  <si>
    <t>After plan selection</t>
  </si>
  <si>
    <t>Open /onboarding</t>
  </si>
  <si>
    <t>Business setup steps shown; can complete and land on dashboard</t>
  </si>
  <si>
    <t>TC-ONB-002</t>
  </si>
  <si>
    <t>Leave required business fields empty and continue</t>
  </si>
  <si>
    <t>Inline validation messages</t>
  </si>
  <si>
    <t>TC-ONB-003</t>
  </si>
  <si>
    <t>Enter invalid GSTIN / PAN / pincode / phone</t>
  </si>
  <si>
    <t>Validation errors; pincode lookup fills city/state when valid</t>
  </si>
  <si>
    <t>TC-ONB-004</t>
  </si>
  <si>
    <t>Refresh in the middle of onboarding</t>
  </si>
  <si>
    <t>Progress / entered data handled gracefully; user is not stuck</t>
  </si>
  <si>
    <t>TC-ONB-005</t>
  </si>
  <si>
    <t>Open /business/create</t>
  </si>
  <si>
    <t>Create business form works; new business appears in the switcher</t>
  </si>
  <si>
    <t>TC-ONB-006</t>
  </si>
  <si>
    <t>Open both pages signed out</t>
  </si>
  <si>
    <t>TC-INV-001</t>
  </si>
  <si>
    <t>Team invitation</t>
  </si>
  <si>
    <t>/invite/:token</t>
  </si>
  <si>
    <t>Open a valid invite link while signed out</t>
  </si>
  <si>
    <t>Redirected to /login?invite=1 with info banner; token kept</t>
  </si>
  <si>
    <t>TC-INV-002</t>
  </si>
  <si>
    <t>Signed in with invited email</t>
  </si>
  <si>
    <t>Open valid invite link</t>
  </si>
  <si>
    <t>'Accepting your invitation...' then 'You've joined &lt;Org&gt;!' with role shown</t>
  </si>
  <si>
    <t>TC-INV-003</t>
  </si>
  <si>
    <t>Click 'Continue with &lt;Org&gt;'</t>
  </si>
  <si>
    <t>Lands on dashboard for that org with 'joined' notice</t>
  </si>
  <si>
    <t>TC-INV-004</t>
  </si>
  <si>
    <t>Can create org</t>
  </si>
  <si>
    <t>Click 'I also want my own organization'</t>
  </si>
  <si>
    <t>New org created; goes to settings</t>
  </si>
  <si>
    <t>TC-INV-005</t>
  </si>
  <si>
    <t>Signed in with different email</t>
  </si>
  <si>
    <t>Open invite sent to another email</t>
  </si>
  <si>
    <t>Redirect to /login with 'invitation sent to a different email address' error</t>
  </si>
  <si>
    <t>TC-INV-006</t>
  </si>
  <si>
    <t>Already accepted</t>
  </si>
  <si>
    <t>Open the same invite link again</t>
  </si>
  <si>
    <t>Goes to dashboard (no error)</t>
  </si>
  <si>
    <t>TC-INV-007</t>
  </si>
  <si>
    <t>Open an invalid / expired / revoked invite token</t>
  </si>
  <si>
    <t>Error card 'Could not accept invitation' with message and 'Back to sign in'</t>
  </si>
  <si>
    <t>TC-INV-008</t>
  </si>
  <si>
    <t>New user: invite, register, verify, complete profile, accept</t>
  </si>
  <si>
    <t>Whole chain works and ends in the invited org</t>
  </si>
  <si>
    <t>TC-INV-009</t>
  </si>
  <si>
    <t>Guess / modify token characters</t>
  </si>
  <si>
    <t>Rejected; no info about other orgs leaked</t>
  </si>
  <si>
    <t>TC-SHARE-001</t>
  </si>
  <si>
    <t>Shared document link</t>
  </si>
  <si>
    <t>/i/:token</t>
  </si>
  <si>
    <t>Share link created for a sent invoice</t>
  </si>
  <si>
    <t>Open the link in a private/incognito window (no sign-in)</t>
  </si>
  <si>
    <t>Document shows business name, address, GSTIN, document type, number, date, amount due, line items, totals</t>
  </si>
  <si>
    <t>TC-SHARE-002</t>
  </si>
  <si>
    <t>Verify numbers vs the app: subtotal, discount, tax, other charges, round-off, total, paid, balance</t>
  </si>
  <si>
    <t>All values match the invoice in the app</t>
  </si>
  <si>
    <t>TC-SHARE-003</t>
  </si>
  <si>
    <t>Unpaid invoice</t>
  </si>
  <si>
    <t>Check 'Amount due' heading and UPI QR</t>
  </si>
  <si>
    <t>'Amount due' shows balance; UPI QR and 'Scan to pay with any UPI app' shown</t>
  </si>
  <si>
    <t>TC-SHARE-004</t>
  </si>
  <si>
    <t>Unpaid invoice, mobile</t>
  </si>
  <si>
    <t>On a phone check 'Pay with UPI' button</t>
  </si>
  <si>
    <t>Button visible on mobile only and opens a UPI app</t>
  </si>
  <si>
    <t>TC-SHARE-005</t>
  </si>
  <si>
    <t>Fully paid invoice</t>
  </si>
  <si>
    <t>Open link</t>
  </si>
  <si>
    <t>Shows 'Paid' and total; no QR / pay button</t>
  </si>
  <si>
    <t>TC-SHARE-006</t>
  </si>
  <si>
    <t>Partially paid</t>
  </si>
  <si>
    <t>Shows balance due, not total</t>
  </si>
  <si>
    <t>TC-SHARE-007</t>
  </si>
  <si>
    <t>Cancelled invoice</t>
  </si>
  <si>
    <t>Red 'Cancelled' label; no pay option</t>
  </si>
  <si>
    <t>TC-SHARE-008</t>
  </si>
  <si>
    <t>Quotation / delivery challan link</t>
  </si>
  <si>
    <t>Open link of non-payable document</t>
  </si>
  <si>
    <t>Shows 'Total' only, no due / pay</t>
  </si>
  <si>
    <t>TC-SHARE-009</t>
  </si>
  <si>
    <t>Bank details set</t>
  </si>
  <si>
    <t>Check Bank transfer block</t>
  </si>
  <si>
    <t>Account name, number, IFSC, bank name shown correctly</t>
  </si>
  <si>
    <t>TC-SHARE-010</t>
  </si>
  <si>
    <t>Business with logo</t>
  </si>
  <si>
    <t>Logo displays; no broken image when no logo</t>
  </si>
  <si>
    <t>TC-SHARE-011</t>
  </si>
  <si>
    <t>Click 'Download PDF' (A4)</t>
  </si>
  <si>
    <t>PDF downloads, opens, matches the document</t>
  </si>
  <si>
    <t>TC-SHARE-012</t>
  </si>
  <si>
    <t>Items with free qty / discount / HSN</t>
  </si>
  <si>
    <t>Check line items table</t>
  </si>
  <si>
    <t>Free quantity ('10 + 1'), discount %, tax %, HSN displayed</t>
  </si>
  <si>
    <t>TC-SHARE-013</t>
  </si>
  <si>
    <t>Share link</t>
  </si>
  <si>
    <t>'&lt;Type&gt; &lt;Number&gt; - &lt;Business&gt;'</t>
  </si>
  <si>
    <t>TC-SHARE-014</t>
  </si>
  <si>
    <t>Plan with / without branding</t>
  </si>
  <si>
    <t>Check 'Powered by' footer</t>
  </si>
  <si>
    <t>Shown only when applicable</t>
  </si>
  <si>
    <t>TC-SHARE-015</t>
  </si>
  <si>
    <t>Link revoked/disabled in app</t>
  </si>
  <si>
    <t>Open the old link</t>
  </si>
  <si>
    <t>'This link is not valid any more' card</t>
  </si>
  <si>
    <t>TC-SHARE-016</t>
  </si>
  <si>
    <t>Open /i/invalidtoken</t>
  </si>
  <si>
    <t>Same 'not valid any more' card; no stack trace</t>
  </si>
  <si>
    <t>TC-SHARE-017</t>
  </si>
  <si>
    <t>Network down</t>
  </si>
  <si>
    <t>Open link while API blocked</t>
  </si>
  <si>
    <t>'Could not open this document - check your connection' card</t>
  </si>
  <si>
    <t>TC-SHARE-018</t>
  </si>
  <si>
    <t>Invoice edited after sharing</t>
  </si>
  <si>
    <t>Edit invoice in app then reload link</t>
  </si>
  <si>
    <t>Link shows updated values (or documented behaviour)</t>
  </si>
  <si>
    <t>TC-SHARE-019</t>
  </si>
  <si>
    <t>Change one char of a valid token; try /api/share/&lt;token&gt; directly</t>
  </si>
  <si>
    <t>Returns 404 / not valid; no data of other tenants</t>
  </si>
  <si>
    <t>TC-SHARE-020</t>
  </si>
  <si>
    <t>Check network responses on the page</t>
  </si>
  <si>
    <t>No internal IDs, tenant keys, other customers' data or secrets exposed</t>
  </si>
  <si>
    <t>TC-SHARE-021</t>
  </si>
  <si>
    <t>Check robots / meta on the page</t>
  </si>
  <si>
    <t>Not indexable by search engines (private invoices)</t>
  </si>
  <si>
    <t>TC-SHARE-022</t>
  </si>
  <si>
    <t>Open on 375px phone and tablet</t>
  </si>
  <si>
    <t>Items table readable (scroll or stacked); amounts not cut off</t>
  </si>
  <si>
    <t>TC-SHARE-023</t>
  </si>
  <si>
    <t>Print the page (Ctrl+P)</t>
  </si>
  <si>
    <t>Print layout acceptable</t>
  </si>
  <si>
    <t>TC-SHARE-024</t>
  </si>
  <si>
    <t>Open the link while signed in as the business owner</t>
  </si>
  <si>
    <t>Still renders outside the app shell</t>
  </si>
  <si>
    <t>TC-PRC-001</t>
  </si>
  <si>
    <t>Pricing</t>
  </si>
  <si>
    <t>/pricing</t>
  </si>
  <si>
    <t>Open /pricing</t>
  </si>
  <si>
    <t>All plans (Forever Free, Pro, Business, Enterprise) with price, features, limits</t>
  </si>
  <si>
    <t>TC-PRC-002</t>
  </si>
  <si>
    <t>Compare prices with the plan selection page and admin settings</t>
  </si>
  <si>
    <t>Same prices/features everywhere</t>
  </si>
  <si>
    <t>TC-PRC-003</t>
  </si>
  <si>
    <t>Click each plan's CTA</t>
  </si>
  <si>
    <t>Free goes to /register; paid goes to register/contact as designed</t>
  </si>
  <si>
    <t>TC-PRC-004</t>
  </si>
  <si>
    <t>Open each FAQ item (accordion) and collapse it</t>
  </si>
  <si>
    <t>Expands/collapses smoothly; answers readable</t>
  </si>
  <si>
    <t>TC-PRC-005</t>
  </si>
  <si>
    <t>Check 'priced on request' plan</t>
  </si>
  <si>
    <t>Shows 'Custom'; contact link works</t>
  </si>
  <si>
    <t>TC-PRC-006</t>
  </si>
  <si>
    <t>Check comparison table / groups (Billing &amp; GST etc.)</t>
  </si>
  <si>
    <t>All rows render; ticks/crosses correct</t>
  </si>
  <si>
    <t>TC-PRC-007</t>
  </si>
  <si>
    <t>Block plan API request</t>
  </si>
  <si>
    <t>Fallback plans still displayed</t>
  </si>
  <si>
    <t>TC-PRC-008</t>
  </si>
  <si>
    <t>Mobile view</t>
  </si>
  <si>
    <t>Plan cards stack; comparison table scrolls or collapses without breaking layout</t>
  </si>
  <si>
    <t>TC-PRC-009</t>
  </si>
  <si>
    <t>Check title / description</t>
  </si>
  <si>
    <t>Pricing-specific meta present</t>
  </si>
  <si>
    <t>TC-FEAT-001</t>
  </si>
  <si>
    <t>Features</t>
  </si>
  <si>
    <t>/features, /features/:slug</t>
  </si>
  <si>
    <t>Open /features</t>
  </si>
  <si>
    <t>Index lists all feature groups with cards linking to details</t>
  </si>
  <si>
    <t>TC-FEAT-002</t>
  </si>
  <si>
    <t>Open every feature page: invoicing, quotations, delivery-challans, credit-notes-returns, point-of-sale, recurring-invoices, payments, expenses, banking, gst-filing, e-invoicing, e-way-bills, gstr-2b-itc, reporting, mobile-desktop-apps, team-roles, api-integrations, online-store, inventory, warehouses, stock-transfers, physical-stock-barcodes, stock-valuation, price-levels, orders-goods-receipts, manufacturing, inventory-reports</t>
  </si>
  <si>
    <t>All 27 pages load with heading, content, CTA; none blank or 404 (tick each slug in remarks)</t>
  </si>
  <si>
    <t>TC-FEAT-003</t>
  </si>
  <si>
    <t>On each feature page click CTA and related-feature links</t>
  </si>
  <si>
    <t>Valid destinations; no dead links</t>
  </si>
  <si>
    <t>TC-FEAT-004</t>
  </si>
  <si>
    <t>Check wording accuracy vs actual product</t>
  </si>
  <si>
    <t>No claims about features that do not exist; GST statements correct</t>
  </si>
  <si>
    <t>TC-FEAT-005</t>
  </si>
  <si>
    <t>Check images, icons, spacing, typos</t>
  </si>
  <si>
    <t>No broken images; consistent style; no spelling mistakes</t>
  </si>
  <si>
    <t>TC-FEAT-006</t>
  </si>
  <si>
    <t>Open /features/not-a-real-page</t>
  </si>
  <si>
    <t>Not-found page</t>
  </si>
  <si>
    <t>TC-FEAT-007</t>
  </si>
  <si>
    <t>Mobile view of index and a detail page</t>
  </si>
  <si>
    <t>No overflow; readable</t>
  </si>
  <si>
    <t>TC-FEAT-008</t>
  </si>
  <si>
    <t>Check each page has unique title and description</t>
  </si>
  <si>
    <t>Unique per page</t>
  </si>
  <si>
    <t>TC-SOL-001</t>
  </si>
  <si>
    <t>Solutions</t>
  </si>
  <si>
    <t>/solutions, /solutions/:slug</t>
  </si>
  <si>
    <t>Open /solutions</t>
  </si>
  <si>
    <t>All industry cards displayed</t>
  </si>
  <si>
    <t>TC-SOL-002</t>
  </si>
  <si>
    <t>Open every solution: retail, wholesale, manufacturing, services, pharmacy, restaurants, electronics, apparel, freelancers, growing-businesses, multi-branch, accountants</t>
  </si>
  <si>
    <t>All 12 pages load with industry-specific content and CTA (tick each in remarks)</t>
  </si>
  <si>
    <t>TC-SOL-003</t>
  </si>
  <si>
    <t>Click CTAs on solution pages</t>
  </si>
  <si>
    <t>Go to register / contact / features correctly</t>
  </si>
  <si>
    <t>TC-SOL-004</t>
  </si>
  <si>
    <t>Open /solutions/unknown</t>
  </si>
  <si>
    <t>TC-SOL-005</t>
  </si>
  <si>
    <t>Layout intact</t>
  </si>
  <si>
    <t>TC-ABT-001</t>
  </si>
  <si>
    <t>About</t>
  </si>
  <si>
    <t>/about</t>
  </si>
  <si>
    <t>Open /about</t>
  </si>
  <si>
    <t>Company story, values, team/office info and CTA load</t>
  </si>
  <si>
    <t>TC-ABT-002</t>
  </si>
  <si>
    <t>Check company name, address, numbers and dates</t>
  </si>
  <si>
    <t>Match legal details used in Contact / Terms</t>
  </si>
  <si>
    <t>TC-ABT-003</t>
  </si>
  <si>
    <t>Click all links and CTA band</t>
  </si>
  <si>
    <t>Work correctly</t>
  </si>
  <si>
    <t>TC-ABT-004</t>
  </si>
  <si>
    <t>Readable</t>
  </si>
  <si>
    <t>TC-CON-001</t>
  </si>
  <si>
    <t>Contact</t>
  </si>
  <si>
    <t>/contact</t>
  </si>
  <si>
    <t>Open /contact</t>
  </si>
  <si>
    <t>Channels (Sales &amp; support, Help centre, Security), registered office, phone and the enquiry form are visible</t>
  </si>
  <si>
    <t>TC-CON-002</t>
  </si>
  <si>
    <t>Fill Name, Email, Message validly, submit, pass bot check</t>
  </si>
  <si>
    <t>Success state shown; enquiry email reaches the inbox; option to send another</t>
  </si>
  <si>
    <t>TC-CON-003</t>
  </si>
  <si>
    <t>Submit with all fields empty</t>
  </si>
  <si>
    <t>Validation messages / blocked</t>
  </si>
  <si>
    <t>TC-CON-004</t>
  </si>
  <si>
    <t>Invalid email formats</t>
  </si>
  <si>
    <t>TC-CON-005</t>
  </si>
  <si>
    <t>Very short message (1 char) and very long message (5,000+ chars)</t>
  </si>
  <si>
    <t>Min / max rules enforced with a clear message; no crash</t>
  </si>
  <si>
    <t>TC-CON-006</t>
  </si>
  <si>
    <t>Name with special characters / emoji / unicode</t>
  </si>
  <si>
    <t>Accepted and displayed correctly in the received email</t>
  </si>
  <si>
    <t>TC-CON-007</t>
  </si>
  <si>
    <t>Fill hidden 'website' honeypot field via dev tools and submit</t>
  </si>
  <si>
    <t>Submission silently dropped / rejected (bot trap)</t>
  </si>
  <si>
    <t>TC-CON-008</t>
  </si>
  <si>
    <t>HTML / script tags in message</t>
  </si>
  <si>
    <t>Escaped in the received email; nothing executes</t>
  </si>
  <si>
    <t>TC-CON-009</t>
  </si>
  <si>
    <t>Submit 10 times quickly</t>
  </si>
  <si>
    <t>Rate limit message; no mail flood</t>
  </si>
  <si>
    <t>TC-CON-010</t>
  </si>
  <si>
    <t>Cancel / close bot check modal</t>
  </si>
  <si>
    <t>Returns to idle; form values kept</t>
  </si>
  <si>
    <t>TC-CON-011</t>
  </si>
  <si>
    <t>Make submission fail (offline / API error)</t>
  </si>
  <si>
    <t>Error message shown and mailto fallback link works with message prefilled</t>
  </si>
  <si>
    <t>TC-CON-012</t>
  </si>
  <si>
    <t>Click 'Send another' after success</t>
  </si>
  <si>
    <t>Message cleared; form usable</t>
  </si>
  <si>
    <t>TC-CON-013</t>
  </si>
  <si>
    <t>Click email, phone and address links</t>
  </si>
  <si>
    <t>mailto: opens mail app; tel: dials; help centre opens docs; external links open new tab</t>
  </si>
  <si>
    <t>TC-CON-014</t>
  </si>
  <si>
    <t>Double click submit</t>
  </si>
  <si>
    <t>Only one enquiry sent</t>
  </si>
  <si>
    <t>TC-CON-015</t>
  </si>
  <si>
    <t>Form usable; channels stack</t>
  </si>
  <si>
    <t>TC-CON-016</t>
  </si>
  <si>
    <t>Labels and error text with screen reader / keyboard</t>
  </si>
  <si>
    <t>Accessible</t>
  </si>
  <si>
    <t>TC-PTN-001</t>
  </si>
  <si>
    <t>Partners programme</t>
  </si>
  <si>
    <t>/partners</t>
  </si>
  <si>
    <t>Open /partners</t>
  </si>
  <si>
    <t>Three programmes shown: Accountants &amp; CA firms, Resellers &amp; consultants, Technology partners with benefits</t>
  </si>
  <si>
    <t>TC-PTN-002</t>
  </si>
  <si>
    <t>Click each programme's 'Apply as ...' button</t>
  </si>
  <si>
    <t>Goes to /partners/apply with that programme preselected</t>
  </si>
  <si>
    <t>TC-PTN-003</t>
  </si>
  <si>
    <t>Check badges / commission / how-it-works blocks and FAQs</t>
  </si>
  <si>
    <t>Content correct, accordions work</t>
  </si>
  <si>
    <t>TC-PTN-004</t>
  </si>
  <si>
    <t>Click link to Find a partner and other CTAs</t>
  </si>
  <si>
    <t>Correct destinations</t>
  </si>
  <si>
    <t>TC-PTN-005</t>
  </si>
  <si>
    <t>Cards stack</t>
  </si>
  <si>
    <t>TC-APPLY-001</t>
  </si>
  <si>
    <t>Partner application</t>
  </si>
  <si>
    <t>/partners/apply</t>
  </si>
  <si>
    <t>Open /partners/apply</t>
  </si>
  <si>
    <t>Form with Programme, Name, Company, Email, Phone, City, Website, Clients you serve, Message, 'List me publicly' checkbox</t>
  </si>
  <si>
    <t>TC-APPLY-002</t>
  </si>
  <si>
    <t>Open /partners/apply?type=reseller (also accountant, technology, and an invalid value)</t>
  </si>
  <si>
    <t>Valid type preselected; invalid ignored</t>
  </si>
  <si>
    <t>TC-APPLY-003</t>
  </si>
  <si>
    <t>Submit with valid data for each programme type</t>
  </si>
  <si>
    <t>Success message; application reaches the team email/admin list</t>
  </si>
  <si>
    <t>TC-APPLY-004</t>
  </si>
  <si>
    <t>Submit empty form</t>
  </si>
  <si>
    <t>Errors under Name, Company, Email, Phone, City</t>
  </si>
  <si>
    <t>TC-APPLY-005</t>
  </si>
  <si>
    <t>Name or company 1 character</t>
  </si>
  <si>
    <t>'Enter your name' / 'Enter your company name'</t>
  </si>
  <si>
    <t>TC-APPLY-006</t>
  </si>
  <si>
    <t>Invalid email</t>
  </si>
  <si>
    <t>'Enter a valid email'</t>
  </si>
  <si>
    <t>TC-APPLY-007</t>
  </si>
  <si>
    <t>Phone: letters, 7 digits, 17 digits, '+91 98765-43210', '98765 43210'</t>
  </si>
  <si>
    <t>Invalid ones rejected ('Enter a valid phone number'); valid formats accepted</t>
  </si>
  <si>
    <t>TC-APPLY-008</t>
  </si>
  <si>
    <t>Website: 'abc', 'yourfirm.com', 'https://yourfirm.com/page', 'http//x'</t>
  </si>
  <si>
    <t>Invalid rejected ('Enter a valid website'); valid accepted with or without https</t>
  </si>
  <si>
    <t>TC-APPLY-009</t>
  </si>
  <si>
    <t>Message above 1000 chars</t>
  </si>
  <si>
    <t>Rejected or limited with message</t>
  </si>
  <si>
    <t>TC-APPLY-010</t>
  </si>
  <si>
    <t>Tick / untick 'List me publicly'</t>
  </si>
  <si>
    <t>Listing on /find-a-partner only if ticked (after approval)</t>
  </si>
  <si>
    <t>TC-APPLY-011</t>
  </si>
  <si>
    <t>Pick each 'Clients you serve' option (1-10, 11-50, 51-200, 200+)</t>
  </si>
  <si>
    <t>All options selectable and saved</t>
  </si>
  <si>
    <t>TC-APPLY-012</t>
  </si>
  <si>
    <t>Script / SQL payloads in text fields</t>
  </si>
  <si>
    <t>Escaped; no execution</t>
  </si>
  <si>
    <t>TC-APPLY-013</t>
  </si>
  <si>
    <t>Duplicate application with same email</t>
  </si>
  <si>
    <t>Handled (accepted or clear message)</t>
  </si>
  <si>
    <t>TC-APPLY-014</t>
  </si>
  <si>
    <t>Close bot check without completing</t>
  </si>
  <si>
    <t>No submission</t>
  </si>
  <si>
    <t>TC-APPLY-015</t>
  </si>
  <si>
    <t>Force API error</t>
  </si>
  <si>
    <t>Error message shown; entered data kept</t>
  </si>
  <si>
    <t>TC-APPLY-016</t>
  </si>
  <si>
    <t>Fields usable</t>
  </si>
  <si>
    <t>TC-FIND-001</t>
  </si>
  <si>
    <t>Find a partner</t>
  </si>
  <si>
    <t>/find-a-partner</t>
  </si>
  <si>
    <t>Open /find-a-partner</t>
  </si>
  <si>
    <t>Directory of approved, publicly listed partners with name, programme, badge, city/state</t>
  </si>
  <si>
    <t>TC-FIND-002</t>
  </si>
  <si>
    <t>Search by company name, by city, partial text and different case</t>
  </si>
  <si>
    <t>Results filter live and match</t>
  </si>
  <si>
    <t>TC-FIND-003</t>
  </si>
  <si>
    <t>Filter by Programme, Badge, State, and combinations</t>
  </si>
  <si>
    <t>Correct results; State list built from data</t>
  </si>
  <si>
    <t>TC-FIND-004</t>
  </si>
  <si>
    <t>Search with no match (e.g. 'zzzz')</t>
  </si>
  <si>
    <t>'No partners match that search' + hint to clear filters</t>
  </si>
  <si>
    <t>TC-FIND-005</t>
  </si>
  <si>
    <t>No partners yet</t>
  </si>
  <si>
    <t>Open with an empty directory</t>
  </si>
  <si>
    <t>'Our partner list is growing' message</t>
  </si>
  <si>
    <t>TC-FIND-006</t>
  </si>
  <si>
    <t>Clear filters</t>
  </si>
  <si>
    <t>Full list returns</t>
  </si>
  <si>
    <t>TC-FIND-007</t>
  </si>
  <si>
    <t>Check unapproved / non-public partners do not appear and no private contact data leaks</t>
  </si>
  <si>
    <t>Only approved, opted-in partners with public fields</t>
  </si>
  <si>
    <t>TC-FIND-008</t>
  </si>
  <si>
    <t>Filters stack; cards readable</t>
  </si>
  <si>
    <t>TC-PORT-001</t>
  </si>
  <si>
    <t>Partner portal</t>
  </si>
  <si>
    <t>/partner-portal</t>
  </si>
  <si>
    <t>Open /partner-portal without signing in</t>
  </si>
  <si>
    <t>Redirected to login or access denied</t>
  </si>
  <si>
    <t>TC-PORT-002</t>
  </si>
  <si>
    <t>Approved partner</t>
  </si>
  <si>
    <t>Sign in and open the portal</t>
  </si>
  <si>
    <t>Referral code, link, referrals, badge and commission information appear correctly</t>
  </si>
  <si>
    <t>TC-PORT-003</t>
  </si>
  <si>
    <t>Normal customer</t>
  </si>
  <si>
    <t>Open portal with a non-partner account</t>
  </si>
  <si>
    <t>Clear message / redirect, no partner data</t>
  </si>
  <si>
    <t>TC-PORT-004</t>
  </si>
  <si>
    <t>Partner</t>
  </si>
  <si>
    <t>Copy the referral link and register a new account via it</t>
  </si>
  <si>
    <t>Referral shows up in the portal for that partner</t>
  </si>
  <si>
    <t>TC-SEC-001</t>
  </si>
  <si>
    <t>Security pages</t>
  </si>
  <si>
    <t>/security, /security/report</t>
  </si>
  <si>
    <t>Open /security</t>
  </si>
  <si>
    <t>Security practices page loads; contact email and links work</t>
  </si>
  <si>
    <t>TC-SEC-002</t>
  </si>
  <si>
    <t>Open /security/report</t>
  </si>
  <si>
    <t>Disclosure policy: scope, what to include, response time, safe harbour</t>
  </si>
  <si>
    <t>TC-SEC-003</t>
  </si>
  <si>
    <t>Click security email link and any 'report' CTA</t>
  </si>
  <si>
    <t>mailto opens with correct address</t>
  </si>
  <si>
    <t>TC-SEC-004</t>
  </si>
  <si>
    <t>Check /.well-known/security.txt (if provided)</t>
  </si>
  <si>
    <t>File reachable with contact and policy link</t>
  </si>
  <si>
    <t>TC-SEC-005</t>
  </si>
  <si>
    <t>Check stated response times vs Contact/Terms</t>
  </si>
  <si>
    <t>Consistent across pages</t>
  </si>
  <si>
    <t>TC-SEC-006</t>
  </si>
  <si>
    <t>TC-LEG-001</t>
  </si>
  <si>
    <t>Legal pages</t>
  </si>
  <si>
    <t>/privacy, /terms, /refund-policy</t>
  </si>
  <si>
    <t>Open /privacy, /terms and /refund-policy</t>
  </si>
  <si>
    <t>Each page loads with headings, last-updated date and content</t>
  </si>
  <si>
    <t>TC-LEG-002</t>
  </si>
  <si>
    <t>Click all internal links and table-of-contents anchors</t>
  </si>
  <si>
    <t>Scroll to correct sections</t>
  </si>
  <si>
    <t>TC-LEG-003</t>
  </si>
  <si>
    <t>Check legal entity name, address, grievance officer, phone and email</t>
  </si>
  <si>
    <t>Match the Contact page</t>
  </si>
  <si>
    <t>TC-LEG-004</t>
  </si>
  <si>
    <t>Open from register page links</t>
  </si>
  <si>
    <t>Open correctly; user can return to sign-up</t>
  </si>
  <si>
    <t>TC-LEG-005</t>
  </si>
  <si>
    <t>Print each page</t>
  </si>
  <si>
    <t>Printable layout</t>
  </si>
  <si>
    <t>TC-LEG-006</t>
  </si>
  <si>
    <t>Review text for wrong dates, placeholders ('lorem', 'TBD') and typos</t>
  </si>
  <si>
    <t>None present</t>
  </si>
  <si>
    <t>TC-LEG-007</t>
  </si>
  <si>
    <t>No overflow</t>
  </si>
  <si>
    <t>TC-HELP-001</t>
  </si>
  <si>
    <t>Help centre</t>
  </si>
  <si>
    <t>/help, /help/:article</t>
  </si>
  <si>
    <t>Open /help</t>
  </si>
  <si>
    <t>Categories (getting started, invoicing, GST, inventory, banking, payments, POS, online store, reports, settings, team, FAQ ...) are listed</t>
  </si>
  <si>
    <t>TC-HELP-002</t>
  </si>
  <si>
    <t>Open each category and a sample of articles in each</t>
  </si>
  <si>
    <t>Articles render (headings, images, code blocks, tables, callouts); sidebar highlights current article</t>
  </si>
  <si>
    <t>TC-HELP-003</t>
  </si>
  <si>
    <t>Use the help search with a keyword, partial word, typo, and no-result query</t>
  </si>
  <si>
    <t>Relevant results; 'no results' state; clear button works</t>
  </si>
  <si>
    <t>TC-HELP-004</t>
  </si>
  <si>
    <t>Click internal links inside articles and breadcrumbs</t>
  </si>
  <si>
    <t>No broken links or 404</t>
  </si>
  <si>
    <t>TC-HELP-005</t>
  </si>
  <si>
    <t>Check Previous / Next article links</t>
  </si>
  <si>
    <t>Correct order</t>
  </si>
  <si>
    <t>TC-HELP-006</t>
  </si>
  <si>
    <t>Check the FAQ page</t>
  </si>
  <si>
    <t>Items expand/collapse</t>
  </si>
  <si>
    <t>TC-HELP-007</t>
  </si>
  <si>
    <t>Check images load and code snippets can be copied</t>
  </si>
  <si>
    <t>TC-HELP-008</t>
  </si>
  <si>
    <t>Open /help/not-an-article</t>
  </si>
  <si>
    <t>Not-found state with link to help home</t>
  </si>
  <si>
    <t>TC-HELP-009</t>
  </si>
  <si>
    <t>Open an article directly via shared URL</t>
  </si>
  <si>
    <t>Loads without needing to visit /help first</t>
  </si>
  <si>
    <t>TC-HELP-010</t>
  </si>
  <si>
    <t>Sidebar becomes menu / drawer; content readable</t>
  </si>
  <si>
    <t>TC-DEV-001</t>
  </si>
  <si>
    <t>Developers / API docs</t>
  </si>
  <si>
    <t>/developers</t>
  </si>
  <si>
    <t>Open /developers</t>
  </si>
  <si>
    <t>Overview with sections, authentication, conventions, FAQ links</t>
  </si>
  <si>
    <t>TC-DEV-002</t>
  </si>
  <si>
    <t>Open Authentication, Conventions and FAQ pages</t>
  </si>
  <si>
    <t>Content loads; code examples readable</t>
  </si>
  <si>
    <t>TC-DEV-003</t>
  </si>
  <si>
    <t>Open several section pages and endpoint pages (/developers/&lt;section&gt;/&lt;endpoint&gt;)</t>
  </si>
  <si>
    <t>Request / response schema, parameters, examples render</t>
  </si>
  <si>
    <t>TC-DEV-004</t>
  </si>
  <si>
    <t>Copy a code sample / cURL example</t>
  </si>
  <si>
    <t>Copy works; sample is valid</t>
  </si>
  <si>
    <t>TC-DEV-005</t>
  </si>
  <si>
    <t>Try an example against a test API key (optional)</t>
  </si>
  <si>
    <t>Response matches documentation</t>
  </si>
  <si>
    <t>TC-DEV-006</t>
  </si>
  <si>
    <t>Open unknown section / endpoint</t>
  </si>
  <si>
    <t>Not-found state</t>
  </si>
  <si>
    <t>TC-DEV-007</t>
  </si>
  <si>
    <t>Sidebar usable; code blocks scroll</t>
  </si>
  <si>
    <t>TC-WID-001</t>
  </si>
  <si>
    <t>UI widgets gallery</t>
  </si>
  <si>
    <t>/widgets</t>
  </si>
  <si>
    <t>Open /widgets</t>
  </si>
  <si>
    <t>Component showcase loads; charts, form fields, select, date input render; no console errors</t>
  </si>
  <si>
    <t>TC-WID-002</t>
  </si>
  <si>
    <t>Interact with controls (toggle theme, select, combobox, date input)</t>
  </si>
  <si>
    <t>TC-SYS-001</t>
  </si>
  <si>
    <t>System &amp; infrastructure</t>
  </si>
  <si>
    <t>/sitemap.xml, /robots.txt</t>
  </si>
  <si>
    <t>Open /sitemap.xml and /robots.txt</t>
  </si>
  <si>
    <t>Sitemap lists all public pages (features, solutions, help); robots blocks private/share pages</t>
  </si>
  <si>
    <t>TC-SYS-002</t>
  </si>
  <si>
    <t>http://</t>
  </si>
  <si>
    <t>Open http:// version of the site</t>
  </si>
  <si>
    <t>Redirects to HTTPS</t>
  </si>
  <si>
    <t>TC-SYS-003</t>
  </si>
  <si>
    <t>Check response headers (CSP, X-Frame-Options, HSTS, nosniff)</t>
  </si>
  <si>
    <t>Security headers present</t>
  </si>
  <si>
    <t>TC-SYS-004</t>
  </si>
  <si>
    <t>Check cookies after login</t>
  </si>
  <si>
    <t>Session cookie is HttpOnly, Secure, SameSite</t>
  </si>
  <si>
    <t>TC-SYS-005</t>
  </si>
  <si>
    <t>Check browser console and network tabs while browsing every page</t>
  </si>
  <si>
    <t>No red console errors, no failing requests (4xx/5xx) other than expected</t>
  </si>
  <si>
    <t>TC-SYS-006</t>
  </si>
  <si>
    <t>Run Lighthouse on Home, Pricing, Features, Login</t>
  </si>
  <si>
    <t>Performance/Accessibility/SEO scores acceptable (note numbers)</t>
  </si>
  <si>
    <t>TC-SYS-007</t>
  </si>
  <si>
    <t>Turnstile</t>
  </si>
  <si>
    <t>Block the Turnstile script (ad blocker) and use a form</t>
  </si>
  <si>
    <t>Clear message; user is not stuck with an infinite spinner</t>
  </si>
  <si>
    <t>TC-SYS-008</t>
  </si>
  <si>
    <t>Cookie / consent banner (if any)</t>
  </si>
  <si>
    <t>Appears once; choice remembered</t>
  </si>
  <si>
    <t>Total</t>
  </si>
  <si>
    <t>Pass</t>
  </si>
  <si>
    <t>Fail</t>
  </si>
  <si>
    <t>Blocked</t>
  </si>
  <si>
    <t>Skipped</t>
  </si>
  <si>
    <t>% Executed</t>
  </si>
  <si>
    <t>TOTAL</t>
  </si>
  <si>
    <t>Item</t>
  </si>
  <si>
    <t>Details / what to prepare</t>
  </si>
  <si>
    <t>Environment</t>
  </si>
  <si>
    <t>Test URL (staging/prod): ______   Build/commit: ______   Date: ______</t>
  </si>
  <si>
    <t>Browsers / devices</t>
  </si>
  <si>
    <t>Chrome, Edge, Firefox, Safari; Android Chrome; iOS Safari; widths 320 / 375 / 768 / 1280 / 1920</t>
  </si>
  <si>
    <t>Account A</t>
  </si>
  <si>
    <t>Verified user with password (for login success)</t>
  </si>
  <si>
    <t>Account B</t>
  </si>
  <si>
    <t>Brand-new email you can read (register, sign-in link, complete profile)</t>
  </si>
  <si>
    <t>Account C</t>
  </si>
  <si>
    <t>Owner account with a business and shared documents: unpaid, partly paid, fully paid, cancelled, quotation, challan</t>
  </si>
  <si>
    <t>Account D</t>
  </si>
  <si>
    <t>Invite emails: valid, expired, revoked, already accepted, wrong-email</t>
  </si>
  <si>
    <t>Partner data</t>
  </si>
  <si>
    <t>Approved partner with referral code; one pending; one not publicly listed</t>
  </si>
  <si>
    <t>Share links</t>
  </si>
  <si>
    <t>Valid, revoked, garbage token; invoice with logo / bank / UPI / free qty / discount</t>
  </si>
  <si>
    <t>Invalid inputs</t>
  </si>
  <si>
    <t>Emails: abc, a@b, ' a@b.com ';  Phones: 12345, abc, +91 98765-43210;  Websites: abc, yourfirm.com;  Payloads: ' OR 1=1 --, &lt;script&gt;alert(1)&lt;/script&gt;, emoji, Hindi/Gujarati text</t>
  </si>
  <si>
    <t>Inbox</t>
  </si>
  <si>
    <t>Mailbox access for sign-in links and contact/partner enquiries</t>
  </si>
  <si>
    <t>Bot check</t>
  </si>
  <si>
    <t>Turnstile test keys or ability to pass the challenge; also test with ad-blocker on</t>
  </si>
  <si>
    <t>Status legend</t>
  </si>
  <si>
    <t>Pass = matches expected; Fail = does not (log Defect ID); Blocked = cannot test; Skipped = not applicable; Not Run</t>
  </si>
  <si>
    <t>Page</t>
  </si>
  <si>
    <t>URL</t>
  </si>
  <si>
    <t>Signed-out access?</t>
  </si>
  <si>
    <t>Notes</t>
  </si>
  <si>
    <t>Yes</t>
  </si>
  <si>
    <t>Goes to app when signed in</t>
  </si>
  <si>
    <t>Log in</t>
  </si>
  <si>
    <t>?ref= and ?invite=</t>
  </si>
  <si>
    <t>Sign-in link verify</t>
  </si>
  <si>
    <t>?token=&amp;source=</t>
  </si>
  <si>
    <t>Needs session</t>
  </si>
  <si>
    <t>Verify email change</t>
  </si>
  <si>
    <t>/auth/verify-email-change</t>
  </si>
  <si>
    <t>Token link</t>
  </si>
  <si>
    <t>NOT covered in test cases - add after checking the email-change flow in Settings</t>
  </si>
  <si>
    <t>Invite</t>
  </si>
  <si>
    <t>Shared document</t>
  </si>
  <si>
    <t>No sign-in needed</t>
  </si>
  <si>
    <t>Features index + 27 pages</t>
  </si>
  <si>
    <t>/features/...</t>
  </si>
  <si>
    <t>Solutions index + 12 pages</t>
  </si>
  <si>
    <t>/solutions/...</t>
  </si>
  <si>
    <t>Partners</t>
  </si>
  <si>
    <t>Partner apply</t>
  </si>
  <si>
    <t>/security</t>
  </si>
  <si>
    <t>Report vulnerability</t>
  </si>
  <si>
    <t>/security/report</t>
  </si>
  <si>
    <t>Privacy</t>
  </si>
  <si>
    <t>/privacy</t>
  </si>
  <si>
    <t>Terms</t>
  </si>
  <si>
    <t>/terms</t>
  </si>
  <si>
    <t>Refund policy</t>
  </si>
  <si>
    <t>/refund-policy</t>
  </si>
  <si>
    <t>/help/...</t>
  </si>
  <si>
    <t>Developers</t>
  </si>
  <si>
    <t>/developers/...</t>
  </si>
  <si>
    <t>Widgets gallery</t>
  </si>
  <si>
    <t>Microsoft edge</t>
  </si>
  <si>
    <t>Sabuja</t>
  </si>
  <si>
    <t>All working but the sub nav links are not highlighted.</t>
  </si>
  <si>
    <t>Can able to go to login/ Signup pages</t>
  </si>
  <si>
    <t>Working</t>
  </si>
  <si>
    <t>Every CTA goes to valid pages</t>
  </si>
  <si>
    <t>No anchors found</t>
  </si>
  <si>
    <t>All links are properly working</t>
  </si>
  <si>
    <t>Opening Dashboard</t>
  </si>
  <si>
    <t>No theme button found</t>
  </si>
  <si>
    <t>Working fine in responsive</t>
  </si>
  <si>
    <t>Content becomes visible only after the page has completely loaded. No images are present on the page. No layout shift was observed.</t>
  </si>
  <si>
    <t>Title, meta description and Open Graph tags are present in the page source. Canonical link tag is missing.</t>
  </si>
  <si>
    <r>
      <t>Opening a non-existent URL (</t>
    </r>
    <r>
      <rPr>
        <sz val="10"/>
        <color theme="1"/>
        <rFont val="Arial Unicode MS"/>
      </rPr>
      <t>/abc123</t>
    </r>
    <r>
      <rPr>
        <sz val="11"/>
        <color theme="1"/>
        <rFont val="Calibri"/>
        <family val="2"/>
        <scheme val="minor"/>
      </rPr>
      <t>) redirects the user to the login page instead of displaying a friendly 404/not-found page with a link to Home.</t>
    </r>
  </si>
  <si>
    <t>A friendly not-found message is displayed with an All features link.</t>
  </si>
  <si>
    <t>A friendly not-found message is displayed with an All solutions link.</t>
  </si>
  <si>
    <t>A friendly not-found message is displayed with an Browse Help articles and a serach bar.</t>
  </si>
  <si>
    <t>Same page without slash</t>
  </si>
  <si>
    <r>
      <t xml:space="preserve">Uppercase </t>
    </r>
    <r>
      <rPr>
        <sz val="10"/>
        <color theme="1"/>
        <rFont val="Arial Unicode MS"/>
      </rPr>
      <t>/PRICING</t>
    </r>
    <r>
      <rPr>
        <sz val="11"/>
        <color theme="1"/>
        <rFont val="Calibri"/>
        <family val="2"/>
        <scheme val="minor"/>
      </rPr>
      <t xml:space="preserve"> is normalized to lowercase </t>
    </r>
    <r>
      <rPr>
        <sz val="10"/>
        <color theme="1"/>
        <rFont val="Arial Unicode MS"/>
      </rPr>
      <t>/pricing</t>
    </r>
    <r>
      <rPr>
        <sz val="11"/>
        <color theme="1"/>
        <rFont val="Calibri"/>
        <family val="2"/>
        <scheme val="minor"/>
      </rPr>
      <t>, and the page opens successfully.</t>
    </r>
  </si>
  <si>
    <t>Working fine</t>
  </si>
  <si>
    <t>redirects to dashboard</t>
  </si>
  <si>
    <t>redirects to login page</t>
  </si>
  <si>
    <t>Fine working</t>
  </si>
  <si>
    <t>If any sub menu (Sub nav links) is selected through keyboard the dropdown still showing</t>
  </si>
  <si>
    <t>Passed in Edge and Chrome and mobile chrome, I don’t have safari or firefox</t>
  </si>
  <si>
    <t>Microsoft edge, Google Chrome, Mobile Chrome</t>
  </si>
  <si>
    <t>When offline, refreshing the page displays the browser's ERR_INTERNET_DISCONNECTED error. During login, no error message is shown, and the loading state persists until the network is restored. Once connectivity returns, login completes and redirects to the dashboard.</t>
  </si>
  <si>
    <t>All working fine</t>
  </si>
  <si>
    <t>Invalid email or password</t>
  </si>
  <si>
    <t>[ { "validation": "email", "code": "invalid_string", "message": "Invalid email", "path": [ "email" ] } ]</t>
  </si>
  <si>
    <t>Should show message not error json</t>
  </si>
  <si>
    <t>Focus not staying</t>
  </si>
  <si>
    <t>Bug: rapid click opening http://localhost:5173/features page</t>
  </si>
  <si>
    <t>Enter your email address first, then we'll send you a sign-in link.</t>
  </si>
  <si>
    <r>
      <t xml:space="preserve">We sent a sign-in link to </t>
    </r>
    <r>
      <rPr>
        <b/>
        <sz val="8"/>
        <color rgb="FF2A437F"/>
        <rFont val="Arial"/>
        <family val="2"/>
      </rPr>
      <t>illusodesigns@gmail.com</t>
    </r>
    <r>
      <rPr>
        <sz val="8"/>
        <color rgb="FF2A437F"/>
        <rFont val="Arial"/>
        <family val="2"/>
      </rPr>
      <t>. Open it on this device to log in.</t>
    </r>
  </si>
  <si>
    <t>All four verification criteria passed.</t>
  </si>
  <si>
    <t>No mail was actually sending to login</t>
  </si>
  <si>
    <t>Filed to rate limiting and opens multiple time</t>
  </si>
  <si>
    <t>In both cases: Invalid email or password</t>
  </si>
  <si>
    <r>
      <t xml:space="preserve">The password field uses </t>
    </r>
    <r>
      <rPr>
        <sz val="10"/>
        <color theme="1"/>
        <rFont val="Arial Unicode MS"/>
      </rPr>
      <t>type="password"</t>
    </r>
    <r>
      <rPr>
        <sz val="11"/>
        <color theme="1"/>
        <rFont val="Calibri"/>
        <family val="2"/>
        <scheme val="minor"/>
      </rPr>
      <t>, masking the entered password. The login request is sent using POST over HTTPS, with the password included in the request payload rather than the URL. The server responds with HTTP 200 OK.</t>
    </r>
  </si>
  <si>
    <t>Too many failed login attempts. Please try again later.</t>
  </si>
  <si>
    <r>
      <t xml:space="preserve">The login page displays an invitation message when opened with </t>
    </r>
    <r>
      <rPr>
        <sz val="10"/>
        <color theme="1"/>
        <rFont val="Arial Unicode MS"/>
      </rPr>
      <t>?invite=ABCD</t>
    </r>
    <r>
      <rPr>
        <sz val="11"/>
        <color theme="1"/>
        <rFont val="Calibri"/>
        <family val="2"/>
        <scheme val="minor"/>
      </rPr>
      <t xml:space="preserve">. However, no visible indication appears when opened with </t>
    </r>
    <r>
      <rPr>
        <sz val="10"/>
        <color theme="1"/>
        <rFont val="Arial Unicode MS"/>
      </rPr>
      <t>?ref=ABCD</t>
    </r>
    <r>
      <rPr>
        <sz val="11"/>
        <color theme="1"/>
        <rFont val="Calibri"/>
        <family val="2"/>
        <scheme val="minor"/>
      </rPr>
      <t>. Query parameter preservation during navigation to the registration page has not yet been verified.</t>
    </r>
  </si>
  <si>
    <t>Both device working simultaniously</t>
  </si>
  <si>
    <t>This invitation was sent to a different email address. Log in with that address to accept it.</t>
  </si>
  <si>
    <t>Redirected to home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</si>
</sst>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rgb="FFFFFFFF"/>
      <name val="Calibri"/>
    </font>
    <font>
      <b/>
      <sz val="11"/>
      <name val="Calibri"/>
    </font>
    <font>
      <b/>
      <sz val="11"/>
      <color theme="1"/>
      <name val="Calibri"/>
      <family val="2"/>
      <scheme val="minor"/>
    </font>
    <font>
      <sz val="10"/>
      <color theme="1"/>
      <name val="Arial Unicode MS"/>
    </font>
    <font>
      <sz val="8"/>
      <color rgb="FFB91C1C"/>
      <name val="Arial"/>
      <family val="2"/>
    </font>
    <font>
      <sz val="8"/>
      <color rgb="FF2A437F"/>
      <name val="Arial"/>
      <family val="2"/>
    </font>
    <font>
      <b/>
      <sz val="8"/>
      <color rgb="FF2A437F"/>
      <name val="Arial"/>
      <family val="2"/>
    </font>
  </fonts>
  <fills count="4">
    <fill>
      <patternFill patternType="none"/>
    </fill>
    <fill>
      <patternFill patternType="gray125"/>
    </fill>
    <fill>
      <patternFill patternType="solid">
        <fgColor rgb="FF1F3A8A"/>
      </patternFill>
    </fill>
    <fill>
      <patternFill patternType="solid">
        <fgColor rgb="FFFFFF00"/>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medium">
        <color indexed="64"/>
      </left>
      <right style="medium">
        <color indexed="64"/>
      </right>
      <top style="medium">
        <color indexed="64"/>
      </top>
      <bottom style="medium">
        <color indexed="64"/>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medium">
        <color indexed="64"/>
      </left>
      <right style="medium">
        <color indexed="64"/>
      </right>
      <top style="medium">
        <color indexed="64"/>
      </top>
      <bottom style="thin">
        <color rgb="FFBFBFBF"/>
      </bottom>
      <diagonal/>
    </border>
    <border>
      <left style="medium">
        <color indexed="64"/>
      </left>
      <right style="medium">
        <color indexed="64"/>
      </right>
      <top style="thin">
        <color rgb="FFBFBFBF"/>
      </top>
      <bottom style="thin">
        <color rgb="FFBFBFBF"/>
      </bottom>
      <diagonal/>
    </border>
    <border>
      <left style="medium">
        <color indexed="64"/>
      </left>
      <right style="medium">
        <color indexed="64"/>
      </right>
      <top style="thin">
        <color rgb="FFBFBFBF"/>
      </top>
      <bottom style="medium">
        <color indexed="64"/>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1" fillId="2" borderId="0" xfId="0" applyFont="1" applyFill="1" applyAlignment="1">
      <alignment horizontal="center" vertical="center" wrapText="1"/>
    </xf>
    <xf numFmtId="9" fontId="0" fillId="0" borderId="0" xfId="0" applyNumberFormat="1"/>
    <xf numFmtId="0" fontId="2" fillId="0" borderId="0" xfId="0" applyFont="1"/>
    <xf numFmtId="9" fontId="2" fillId="0" borderId="0" xfId="0" applyNumberFormat="1" applyFont="1"/>
    <xf numFmtId="0" fontId="0" fillId="0" borderId="0" xfId="0" applyAlignment="1">
      <alignment vertical="top" wrapText="1"/>
    </xf>
    <xf numFmtId="14" fontId="0" fillId="0" borderId="1" xfId="0" applyNumberFormat="1" applyBorder="1" applyAlignment="1">
      <alignment vertical="top" wrapText="1"/>
    </xf>
    <xf numFmtId="0" fontId="0" fillId="0" borderId="0" xfId="0" applyAlignment="1">
      <alignment wrapText="1"/>
    </xf>
    <xf numFmtId="0" fontId="5" fillId="0" borderId="0" xfId="0" applyFont="1"/>
    <xf numFmtId="0" fontId="5" fillId="0" borderId="0" xfId="0" applyFont="1" applyAlignment="1">
      <alignment wrapText="1"/>
    </xf>
    <xf numFmtId="0" fontId="6" fillId="0" borderId="0" xfId="0" applyFont="1" applyAlignment="1">
      <alignment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3" borderId="2" xfId="0" applyFill="1" applyBorder="1" applyAlignment="1">
      <alignment vertical="top" wrapText="1"/>
    </xf>
    <xf numFmtId="0" fontId="0" fillId="3" borderId="7" xfId="0" applyFill="1" applyBorder="1" applyAlignment="1">
      <alignment vertical="top" wrapText="1"/>
    </xf>
    <xf numFmtId="0" fontId="0" fillId="3" borderId="8" xfId="0" applyFill="1" applyBorder="1" applyAlignment="1">
      <alignment vertical="top" wrapText="1"/>
    </xf>
    <xf numFmtId="0" fontId="0" fillId="3" borderId="9" xfId="0" applyFill="1" applyBorder="1" applyAlignment="1">
      <alignment vertical="top" wrapText="1"/>
    </xf>
    <xf numFmtId="0" fontId="3" fillId="0" borderId="1" xfId="0" applyFont="1" applyBorder="1" applyAlignment="1">
      <alignment vertical="top" wrapText="1"/>
    </xf>
  </cellXfs>
  <cellStyles count="1">
    <cellStyle name="Normal" xfId="0" builtinId="0"/>
  </cellStyles>
  <dxfs count="4">
    <dxf>
      <fill>
        <patternFill patternType="solid">
          <fgColor rgb="FFD9D9D9"/>
          <bgColor rgb="FFD9D9D9"/>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76"/>
  <sheetViews>
    <sheetView tabSelected="1" workbookViewId="0">
      <pane xSplit="2" ySplit="1" topLeftCell="E52" activePane="bottomRight" state="frozen"/>
      <selection pane="topRight"/>
      <selection pane="bottomLeft"/>
      <selection pane="bottomRight" activeCell="J59" sqref="A59:J59"/>
    </sheetView>
  </sheetViews>
  <sheetFormatPr defaultRowHeight="14.4"/>
  <cols>
    <col min="1" max="1" width="16" customWidth="1"/>
    <col min="2" max="2" width="22" customWidth="1"/>
    <col min="3" max="3" width="24" customWidth="1"/>
    <col min="4" max="4" width="14" customWidth="1"/>
    <col min="5" max="5" width="10" customWidth="1"/>
    <col min="6" max="6" width="24" customWidth="1"/>
    <col min="7" max="7" width="40.77734375" customWidth="1"/>
    <col min="8" max="8" width="32.88671875" customWidth="1"/>
    <col min="9" max="9" width="40" customWidth="1"/>
    <col min="10" max="10" width="12" customWidth="1"/>
    <col min="11" max="11" width="18" customWidth="1"/>
    <col min="12" max="12" width="14" customWidth="1"/>
    <col min="13" max="13" width="12" customWidth="1"/>
    <col min="14" max="14" width="16" customWidth="1"/>
    <col min="15" max="15" width="30" customWidth="1"/>
  </cols>
  <sheetData>
    <row r="1" spans="1:15" ht="31.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58.2" thickBot="1">
      <c r="A2" s="2" t="s">
        <v>15</v>
      </c>
      <c r="B2" s="2" t="s">
        <v>16</v>
      </c>
      <c r="C2" s="2" t="s">
        <v>17</v>
      </c>
      <c r="D2" s="2" t="s">
        <v>18</v>
      </c>
      <c r="E2" s="2" t="s">
        <v>19</v>
      </c>
      <c r="F2" s="2" t="s">
        <v>20</v>
      </c>
      <c r="G2" s="2" t="s">
        <v>21</v>
      </c>
      <c r="H2" s="2" t="s">
        <v>22</v>
      </c>
      <c r="I2" s="2" t="s">
        <v>1013</v>
      </c>
      <c r="J2" s="15" t="s">
        <v>940</v>
      </c>
      <c r="K2" s="2" t="s">
        <v>1009</v>
      </c>
      <c r="L2" s="2" t="s">
        <v>1010</v>
      </c>
      <c r="M2" s="8">
        <v>46063</v>
      </c>
      <c r="N2" s="2"/>
      <c r="O2" s="2"/>
    </row>
    <row r="3" spans="1:15" ht="29.4" thickBot="1">
      <c r="A3" s="2" t="s">
        <v>24</v>
      </c>
      <c r="B3" s="2" t="s">
        <v>16</v>
      </c>
      <c r="C3" s="2" t="s">
        <v>17</v>
      </c>
      <c r="D3" s="2" t="s">
        <v>18</v>
      </c>
      <c r="E3" s="2" t="s">
        <v>19</v>
      </c>
      <c r="F3" s="2" t="s">
        <v>20</v>
      </c>
      <c r="G3" s="2" t="s">
        <v>25</v>
      </c>
      <c r="H3" s="2" t="s">
        <v>26</v>
      </c>
      <c r="I3" s="13" t="s">
        <v>1011</v>
      </c>
      <c r="J3" s="17" t="s">
        <v>940</v>
      </c>
      <c r="K3" s="14" t="s">
        <v>1009</v>
      </c>
      <c r="L3" s="2" t="s">
        <v>1010</v>
      </c>
      <c r="M3" s="8">
        <v>46063</v>
      </c>
      <c r="N3" s="2"/>
      <c r="O3" s="2"/>
    </row>
    <row r="4" spans="1:15" ht="28.8">
      <c r="A4" s="2" t="s">
        <v>27</v>
      </c>
      <c r="B4" s="2" t="s">
        <v>16</v>
      </c>
      <c r="C4" s="2" t="s">
        <v>17</v>
      </c>
      <c r="D4" s="2" t="s">
        <v>18</v>
      </c>
      <c r="E4" s="2" t="s">
        <v>19</v>
      </c>
      <c r="F4" s="2" t="s">
        <v>20</v>
      </c>
      <c r="G4" s="2" t="s">
        <v>28</v>
      </c>
      <c r="H4" s="2" t="s">
        <v>29</v>
      </c>
      <c r="I4" s="2" t="s">
        <v>1012</v>
      </c>
      <c r="J4" s="16" t="s">
        <v>940</v>
      </c>
      <c r="K4" s="2" t="s">
        <v>1009</v>
      </c>
      <c r="L4" s="2" t="s">
        <v>1010</v>
      </c>
      <c r="M4" s="8">
        <v>46063</v>
      </c>
      <c r="N4" s="2"/>
      <c r="O4" s="2"/>
    </row>
    <row r="5" spans="1:15" ht="28.8">
      <c r="A5" s="2" t="s">
        <v>30</v>
      </c>
      <c r="B5" s="2" t="s">
        <v>16</v>
      </c>
      <c r="C5" s="2" t="s">
        <v>17</v>
      </c>
      <c r="D5" s="2" t="s">
        <v>18</v>
      </c>
      <c r="E5" s="2" t="s">
        <v>31</v>
      </c>
      <c r="F5" s="2" t="s">
        <v>20</v>
      </c>
      <c r="G5" s="2" t="s">
        <v>32</v>
      </c>
      <c r="H5" s="2" t="s">
        <v>33</v>
      </c>
      <c r="I5" s="2" t="s">
        <v>1014</v>
      </c>
      <c r="J5" s="2" t="s">
        <v>940</v>
      </c>
      <c r="K5" s="2" t="s">
        <v>1009</v>
      </c>
      <c r="L5" s="2" t="s">
        <v>1010</v>
      </c>
      <c r="M5" s="8">
        <v>46063</v>
      </c>
      <c r="N5" s="2"/>
      <c r="O5" s="2"/>
    </row>
    <row r="6" spans="1:15" ht="28.8">
      <c r="A6" s="2" t="s">
        <v>34</v>
      </c>
      <c r="B6" s="2" t="s">
        <v>16</v>
      </c>
      <c r="C6" s="2" t="s">
        <v>17</v>
      </c>
      <c r="D6" s="2" t="s">
        <v>18</v>
      </c>
      <c r="E6" s="2" t="s">
        <v>31</v>
      </c>
      <c r="F6" s="2" t="s">
        <v>20</v>
      </c>
      <c r="G6" s="2" t="s">
        <v>35</v>
      </c>
      <c r="H6" s="2" t="s">
        <v>36</v>
      </c>
      <c r="I6" s="2" t="s">
        <v>1015</v>
      </c>
      <c r="J6" s="2" t="s">
        <v>943</v>
      </c>
      <c r="K6" s="2" t="s">
        <v>1009</v>
      </c>
      <c r="L6" s="2" t="s">
        <v>1010</v>
      </c>
      <c r="M6" s="8">
        <v>46063</v>
      </c>
      <c r="N6" s="2"/>
      <c r="O6" s="2"/>
    </row>
    <row r="7" spans="1:15" ht="43.2">
      <c r="A7" s="2" t="s">
        <v>37</v>
      </c>
      <c r="B7" s="2" t="s">
        <v>16</v>
      </c>
      <c r="C7" s="2" t="s">
        <v>17</v>
      </c>
      <c r="D7" s="2" t="s">
        <v>18</v>
      </c>
      <c r="E7" s="2" t="s">
        <v>31</v>
      </c>
      <c r="F7" s="2" t="s">
        <v>20</v>
      </c>
      <c r="G7" s="2" t="s">
        <v>38</v>
      </c>
      <c r="H7" s="2" t="s">
        <v>39</v>
      </c>
      <c r="I7" s="2" t="s">
        <v>1016</v>
      </c>
      <c r="J7" s="2" t="s">
        <v>940</v>
      </c>
      <c r="K7" s="2" t="s">
        <v>1009</v>
      </c>
      <c r="L7" s="2" t="s">
        <v>1010</v>
      </c>
      <c r="M7" s="8">
        <v>46063</v>
      </c>
      <c r="N7" s="2"/>
      <c r="O7" s="2"/>
    </row>
    <row r="8" spans="1:15" ht="43.2">
      <c r="A8" s="2" t="s">
        <v>40</v>
      </c>
      <c r="B8" s="2" t="s">
        <v>16</v>
      </c>
      <c r="C8" s="2" t="s">
        <v>17</v>
      </c>
      <c r="D8" s="2" t="s">
        <v>18</v>
      </c>
      <c r="E8" s="2" t="s">
        <v>31</v>
      </c>
      <c r="F8" s="2" t="s">
        <v>41</v>
      </c>
      <c r="G8" s="2" t="s">
        <v>42</v>
      </c>
      <c r="H8" s="2" t="s">
        <v>43</v>
      </c>
      <c r="I8" s="2" t="s">
        <v>1017</v>
      </c>
      <c r="J8" s="2" t="s">
        <v>940</v>
      </c>
      <c r="K8" s="2" t="s">
        <v>1009</v>
      </c>
      <c r="L8" s="2" t="s">
        <v>1010</v>
      </c>
      <c r="M8" s="8">
        <v>46063</v>
      </c>
      <c r="N8" s="2"/>
      <c r="O8" s="2"/>
    </row>
    <row r="9" spans="1:15" ht="28.8">
      <c r="A9" s="2" t="s">
        <v>44</v>
      </c>
      <c r="B9" s="2" t="s">
        <v>16</v>
      </c>
      <c r="C9" s="2" t="s">
        <v>17</v>
      </c>
      <c r="D9" s="2" t="s">
        <v>45</v>
      </c>
      <c r="E9" s="2" t="s">
        <v>46</v>
      </c>
      <c r="F9" s="2" t="s">
        <v>20</v>
      </c>
      <c r="G9" s="2" t="s">
        <v>47</v>
      </c>
      <c r="H9" s="2" t="s">
        <v>48</v>
      </c>
      <c r="I9" s="2" t="s">
        <v>1018</v>
      </c>
      <c r="J9" s="2" t="s">
        <v>943</v>
      </c>
      <c r="K9" s="2" t="s">
        <v>1009</v>
      </c>
      <c r="L9" s="2" t="s">
        <v>1010</v>
      </c>
      <c r="M9" s="8">
        <v>46063</v>
      </c>
      <c r="N9" s="2"/>
      <c r="O9" s="2"/>
    </row>
    <row r="10" spans="1:15" ht="43.2">
      <c r="A10" s="2" t="s">
        <v>49</v>
      </c>
      <c r="B10" s="2" t="s">
        <v>16</v>
      </c>
      <c r="C10" s="2" t="s">
        <v>17</v>
      </c>
      <c r="D10" s="2" t="s">
        <v>50</v>
      </c>
      <c r="E10" s="2" t="s">
        <v>19</v>
      </c>
      <c r="F10" s="2" t="s">
        <v>20</v>
      </c>
      <c r="G10" s="2" t="s">
        <v>51</v>
      </c>
      <c r="H10" s="2" t="s">
        <v>52</v>
      </c>
      <c r="I10" s="2" t="s">
        <v>1019</v>
      </c>
      <c r="J10" s="2" t="s">
        <v>940</v>
      </c>
      <c r="K10" s="2" t="s">
        <v>1009</v>
      </c>
      <c r="L10" s="2" t="s">
        <v>1010</v>
      </c>
      <c r="M10" s="8">
        <v>46063</v>
      </c>
      <c r="N10" s="2"/>
      <c r="O10" s="2"/>
    </row>
    <row r="11" spans="1:15" ht="29.4" thickBot="1">
      <c r="A11" s="2" t="s">
        <v>53</v>
      </c>
      <c r="B11" s="2" t="s">
        <v>16</v>
      </c>
      <c r="C11" s="2" t="s">
        <v>17</v>
      </c>
      <c r="D11" s="2" t="s">
        <v>50</v>
      </c>
      <c r="E11" s="2" t="s">
        <v>31</v>
      </c>
      <c r="F11" s="2" t="s">
        <v>20</v>
      </c>
      <c r="G11" s="2" t="s">
        <v>54</v>
      </c>
      <c r="H11" s="2" t="s">
        <v>55</v>
      </c>
      <c r="I11" s="2" t="s">
        <v>1019</v>
      </c>
      <c r="J11" s="15" t="s">
        <v>940</v>
      </c>
      <c r="K11" s="2" t="s">
        <v>1009</v>
      </c>
      <c r="L11" s="2" t="s">
        <v>1010</v>
      </c>
      <c r="M11" s="8">
        <v>46063</v>
      </c>
      <c r="N11" s="2"/>
      <c r="O11" s="2"/>
    </row>
    <row r="12" spans="1:15" ht="43.2">
      <c r="A12" s="2" t="s">
        <v>56</v>
      </c>
      <c r="B12" s="2" t="s">
        <v>16</v>
      </c>
      <c r="C12" s="2" t="s">
        <v>17</v>
      </c>
      <c r="D12" s="2" t="s">
        <v>57</v>
      </c>
      <c r="E12" s="2" t="s">
        <v>31</v>
      </c>
      <c r="F12" s="2" t="s">
        <v>20</v>
      </c>
      <c r="G12" s="2" t="s">
        <v>58</v>
      </c>
      <c r="H12" s="2" t="s">
        <v>59</v>
      </c>
      <c r="I12" s="9" t="s">
        <v>1020</v>
      </c>
      <c r="J12" s="18" t="s">
        <v>940</v>
      </c>
      <c r="K12" s="14" t="s">
        <v>1009</v>
      </c>
      <c r="L12" s="2" t="s">
        <v>1010</v>
      </c>
      <c r="M12" s="8">
        <v>46063</v>
      </c>
      <c r="N12" s="2"/>
      <c r="O12" s="2"/>
    </row>
    <row r="13" spans="1:15" ht="43.2">
      <c r="A13" s="2" t="s">
        <v>60</v>
      </c>
      <c r="B13" s="2" t="s">
        <v>16</v>
      </c>
      <c r="C13" s="2" t="s">
        <v>17</v>
      </c>
      <c r="D13" s="2" t="s">
        <v>61</v>
      </c>
      <c r="E13" s="2" t="s">
        <v>46</v>
      </c>
      <c r="F13" s="2" t="s">
        <v>20</v>
      </c>
      <c r="G13" s="2" t="s">
        <v>62</v>
      </c>
      <c r="H13" s="2" t="s">
        <v>63</v>
      </c>
      <c r="I13" s="9" t="s">
        <v>1021</v>
      </c>
      <c r="J13" s="19" t="s">
        <v>940</v>
      </c>
      <c r="K13" s="14" t="s">
        <v>1009</v>
      </c>
      <c r="L13" s="2" t="s">
        <v>1010</v>
      </c>
      <c r="M13" s="8">
        <v>46063</v>
      </c>
      <c r="N13" s="2"/>
      <c r="O13" s="2"/>
    </row>
    <row r="14" spans="1:15" ht="58.2" thickBot="1">
      <c r="A14" s="2" t="s">
        <v>64</v>
      </c>
      <c r="B14" s="2" t="s">
        <v>65</v>
      </c>
      <c r="C14" s="2" t="s">
        <v>66</v>
      </c>
      <c r="D14" s="2" t="s">
        <v>67</v>
      </c>
      <c r="E14" s="2" t="s">
        <v>19</v>
      </c>
      <c r="F14" s="2" t="s">
        <v>20</v>
      </c>
      <c r="G14" s="2" t="s">
        <v>68</v>
      </c>
      <c r="H14" s="2" t="s">
        <v>69</v>
      </c>
      <c r="I14" s="9" t="s">
        <v>1022</v>
      </c>
      <c r="J14" s="20" t="s">
        <v>940</v>
      </c>
      <c r="K14" s="14" t="s">
        <v>1009</v>
      </c>
      <c r="L14" s="2" t="s">
        <v>1010</v>
      </c>
      <c r="M14" s="8">
        <v>46063</v>
      </c>
      <c r="N14" s="2"/>
      <c r="O14" s="2"/>
    </row>
    <row r="15" spans="1:15" ht="28.8">
      <c r="A15" s="2" t="s">
        <v>70</v>
      </c>
      <c r="B15" s="2" t="s">
        <v>65</v>
      </c>
      <c r="C15" s="2" t="s">
        <v>71</v>
      </c>
      <c r="D15" s="2" t="s">
        <v>67</v>
      </c>
      <c r="E15" s="2" t="s">
        <v>31</v>
      </c>
      <c r="F15" s="2" t="s">
        <v>20</v>
      </c>
      <c r="G15" s="2" t="s">
        <v>72</v>
      </c>
      <c r="H15" s="2" t="s">
        <v>73</v>
      </c>
      <c r="I15" s="9" t="s">
        <v>1023</v>
      </c>
      <c r="J15" s="16" t="s">
        <v>940</v>
      </c>
      <c r="K15" s="2" t="s">
        <v>1009</v>
      </c>
      <c r="L15" s="2" t="s">
        <v>1010</v>
      </c>
      <c r="M15" s="8">
        <v>46063</v>
      </c>
      <c r="N15" s="2"/>
      <c r="O15" s="2"/>
    </row>
    <row r="16" spans="1:15" ht="28.8">
      <c r="A16" s="2" t="s">
        <v>74</v>
      </c>
      <c r="B16" s="2" t="s">
        <v>65</v>
      </c>
      <c r="C16" s="2" t="s">
        <v>75</v>
      </c>
      <c r="D16" s="2" t="s">
        <v>67</v>
      </c>
      <c r="E16" s="2" t="s">
        <v>31</v>
      </c>
      <c r="F16" s="2" t="s">
        <v>20</v>
      </c>
      <c r="G16" s="2" t="s">
        <v>76</v>
      </c>
      <c r="H16" s="2" t="s">
        <v>77</v>
      </c>
      <c r="I16" s="9" t="s">
        <v>1024</v>
      </c>
      <c r="J16" s="2" t="s">
        <v>940</v>
      </c>
      <c r="K16" s="2" t="s">
        <v>1009</v>
      </c>
      <c r="L16" s="2" t="s">
        <v>1010</v>
      </c>
      <c r="M16" s="8">
        <v>46063</v>
      </c>
      <c r="N16" s="2"/>
      <c r="O16" s="2"/>
    </row>
    <row r="17" spans="1:15" ht="28.8">
      <c r="A17" s="2" t="s">
        <v>78</v>
      </c>
      <c r="B17" s="2" t="s">
        <v>65</v>
      </c>
      <c r="C17" s="2" t="s">
        <v>79</v>
      </c>
      <c r="D17" s="2" t="s">
        <v>67</v>
      </c>
      <c r="E17" s="2" t="s">
        <v>31</v>
      </c>
      <c r="F17" s="2" t="s">
        <v>20</v>
      </c>
      <c r="G17" s="2" t="s">
        <v>80</v>
      </c>
      <c r="H17" s="2" t="s">
        <v>81</v>
      </c>
      <c r="I17" s="9" t="s">
        <v>1025</v>
      </c>
      <c r="J17" s="2" t="s">
        <v>940</v>
      </c>
      <c r="K17" s="2" t="s">
        <v>1009</v>
      </c>
      <c r="L17" s="2" t="s">
        <v>1010</v>
      </c>
      <c r="M17" s="8">
        <v>46063</v>
      </c>
      <c r="N17" s="2"/>
      <c r="O17" s="2"/>
    </row>
    <row r="18" spans="1:15" ht="28.8">
      <c r="A18" s="2" t="s">
        <v>82</v>
      </c>
      <c r="B18" s="2" t="s">
        <v>65</v>
      </c>
      <c r="C18" s="2" t="s">
        <v>83</v>
      </c>
      <c r="D18" s="2" t="s">
        <v>18</v>
      </c>
      <c r="E18" s="2" t="s">
        <v>46</v>
      </c>
      <c r="F18" s="2" t="s">
        <v>20</v>
      </c>
      <c r="G18" s="2" t="s">
        <v>84</v>
      </c>
      <c r="H18" s="2" t="s">
        <v>85</v>
      </c>
      <c r="I18" s="2" t="s">
        <v>1026</v>
      </c>
      <c r="J18" s="2" t="s">
        <v>940</v>
      </c>
      <c r="K18" s="2" t="s">
        <v>1009</v>
      </c>
      <c r="L18" s="2" t="s">
        <v>1010</v>
      </c>
      <c r="M18" s="8">
        <v>46063</v>
      </c>
      <c r="N18" s="2"/>
      <c r="O18" s="2"/>
    </row>
    <row r="19" spans="1:15" ht="28.8">
      <c r="A19" s="2" t="s">
        <v>86</v>
      </c>
      <c r="B19" s="2" t="s">
        <v>65</v>
      </c>
      <c r="C19" s="2" t="s">
        <v>87</v>
      </c>
      <c r="D19" s="2" t="s">
        <v>18</v>
      </c>
      <c r="E19" s="2" t="s">
        <v>46</v>
      </c>
      <c r="F19" s="2" t="s">
        <v>20</v>
      </c>
      <c r="G19" s="2" t="s">
        <v>88</v>
      </c>
      <c r="H19" s="2" t="s">
        <v>89</v>
      </c>
      <c r="I19" t="s">
        <v>1027</v>
      </c>
      <c r="J19" s="2" t="s">
        <v>940</v>
      </c>
      <c r="K19" s="2" t="s">
        <v>1009</v>
      </c>
      <c r="L19" s="2" t="s">
        <v>1010</v>
      </c>
      <c r="M19" s="8">
        <v>46063</v>
      </c>
      <c r="N19" s="2"/>
      <c r="O19" s="2"/>
    </row>
    <row r="20" spans="1:15" ht="28.8">
      <c r="A20" s="2" t="s">
        <v>90</v>
      </c>
      <c r="B20" s="2" t="s">
        <v>65</v>
      </c>
      <c r="C20" s="2" t="s">
        <v>91</v>
      </c>
      <c r="D20" s="2" t="s">
        <v>18</v>
      </c>
      <c r="E20" s="2" t="s">
        <v>19</v>
      </c>
      <c r="F20" s="2" t="s">
        <v>20</v>
      </c>
      <c r="G20" s="2" t="s">
        <v>92</v>
      </c>
      <c r="H20" s="2" t="s">
        <v>93</v>
      </c>
      <c r="I20" s="2" t="s">
        <v>1028</v>
      </c>
      <c r="J20" s="2" t="s">
        <v>940</v>
      </c>
      <c r="K20" s="2" t="s">
        <v>1009</v>
      </c>
      <c r="L20" s="2" t="s">
        <v>1010</v>
      </c>
      <c r="M20" s="8">
        <v>46063</v>
      </c>
      <c r="N20" s="2"/>
      <c r="O20" s="2"/>
    </row>
    <row r="21" spans="1:15" ht="28.8">
      <c r="A21" s="2" t="s">
        <v>94</v>
      </c>
      <c r="B21" s="2" t="s">
        <v>65</v>
      </c>
      <c r="C21" s="2" t="s">
        <v>91</v>
      </c>
      <c r="D21" s="2" t="s">
        <v>18</v>
      </c>
      <c r="E21" s="2" t="s">
        <v>31</v>
      </c>
      <c r="F21" s="2" t="s">
        <v>20</v>
      </c>
      <c r="G21" s="2" t="s">
        <v>95</v>
      </c>
      <c r="H21" s="2" t="s">
        <v>96</v>
      </c>
      <c r="I21" s="2" t="s">
        <v>1028</v>
      </c>
      <c r="J21" s="2" t="s">
        <v>940</v>
      </c>
      <c r="K21" s="2" t="s">
        <v>1009</v>
      </c>
      <c r="L21" s="2" t="s">
        <v>1010</v>
      </c>
      <c r="M21" s="8">
        <v>46063</v>
      </c>
      <c r="N21" s="2"/>
      <c r="O21" s="2"/>
    </row>
    <row r="22" spans="1:15" ht="28.8">
      <c r="A22" s="2" t="s">
        <v>97</v>
      </c>
      <c r="B22" s="2" t="s">
        <v>65</v>
      </c>
      <c r="C22" s="2" t="s">
        <v>91</v>
      </c>
      <c r="D22" s="2" t="s">
        <v>18</v>
      </c>
      <c r="E22" s="2" t="s">
        <v>31</v>
      </c>
      <c r="F22" s="2" t="s">
        <v>20</v>
      </c>
      <c r="G22" s="2" t="s">
        <v>98</v>
      </c>
      <c r="H22" s="2" t="s">
        <v>99</v>
      </c>
      <c r="I22" s="2" t="s">
        <v>1028</v>
      </c>
      <c r="J22" s="2" t="s">
        <v>940</v>
      </c>
      <c r="K22" s="2" t="s">
        <v>1009</v>
      </c>
      <c r="L22" s="2" t="s">
        <v>1010</v>
      </c>
      <c r="M22" s="8">
        <v>46063</v>
      </c>
      <c r="N22" s="2"/>
      <c r="O22" s="2"/>
    </row>
    <row r="23" spans="1:15" ht="43.2">
      <c r="A23" s="2" t="s">
        <v>100</v>
      </c>
      <c r="B23" s="2" t="s">
        <v>65</v>
      </c>
      <c r="C23" s="2" t="s">
        <v>101</v>
      </c>
      <c r="D23" s="2" t="s">
        <v>18</v>
      </c>
      <c r="E23" s="2" t="s">
        <v>31</v>
      </c>
      <c r="F23" s="2" t="s">
        <v>41</v>
      </c>
      <c r="G23" s="2" t="s">
        <v>102</v>
      </c>
      <c r="H23" s="2" t="s">
        <v>103</v>
      </c>
      <c r="I23" s="2" t="s">
        <v>1029</v>
      </c>
      <c r="J23" s="2" t="s">
        <v>940</v>
      </c>
      <c r="K23" s="2" t="s">
        <v>1009</v>
      </c>
      <c r="L23" s="2" t="s">
        <v>1010</v>
      </c>
      <c r="M23" s="8">
        <v>46063</v>
      </c>
      <c r="N23" s="2"/>
      <c r="O23" s="2"/>
    </row>
    <row r="24" spans="1:15" ht="28.8">
      <c r="A24" s="2" t="s">
        <v>104</v>
      </c>
      <c r="B24" s="2" t="s">
        <v>65</v>
      </c>
      <c r="C24" s="2" t="s">
        <v>105</v>
      </c>
      <c r="D24" s="2" t="s">
        <v>106</v>
      </c>
      <c r="E24" s="2" t="s">
        <v>19</v>
      </c>
      <c r="F24" s="2" t="s">
        <v>20</v>
      </c>
      <c r="G24" s="2" t="s">
        <v>107</v>
      </c>
      <c r="H24" s="2" t="s">
        <v>108</v>
      </c>
      <c r="I24" s="2" t="s">
        <v>1030</v>
      </c>
      <c r="J24" s="2" t="s">
        <v>940</v>
      </c>
      <c r="K24" s="2" t="s">
        <v>1009</v>
      </c>
      <c r="L24" s="2" t="s">
        <v>1010</v>
      </c>
      <c r="M24" s="8">
        <v>46063</v>
      </c>
      <c r="N24" s="2"/>
      <c r="O24" s="2"/>
    </row>
    <row r="25" spans="1:15" ht="28.8">
      <c r="A25" s="2" t="s">
        <v>109</v>
      </c>
      <c r="B25" s="2" t="s">
        <v>65</v>
      </c>
      <c r="C25" s="2" t="s">
        <v>91</v>
      </c>
      <c r="D25" s="2" t="s">
        <v>50</v>
      </c>
      <c r="E25" s="2" t="s">
        <v>31</v>
      </c>
      <c r="F25" s="2" t="s">
        <v>20</v>
      </c>
      <c r="G25" s="2" t="s">
        <v>110</v>
      </c>
      <c r="H25" s="2" t="s">
        <v>111</v>
      </c>
      <c r="I25" s="2" t="s">
        <v>1031</v>
      </c>
      <c r="J25" s="2" t="s">
        <v>940</v>
      </c>
      <c r="K25" s="2" t="s">
        <v>1009</v>
      </c>
      <c r="L25" s="2" t="s">
        <v>1010</v>
      </c>
      <c r="M25" s="8">
        <v>46063</v>
      </c>
      <c r="N25" s="2"/>
      <c r="O25" s="2"/>
    </row>
    <row r="26" spans="1:15" ht="43.2">
      <c r="A26" s="2" t="s">
        <v>112</v>
      </c>
      <c r="B26" s="2" t="s">
        <v>65</v>
      </c>
      <c r="C26" s="2" t="s">
        <v>91</v>
      </c>
      <c r="D26" s="2" t="s">
        <v>113</v>
      </c>
      <c r="E26" s="2" t="s">
        <v>31</v>
      </c>
      <c r="F26" s="2" t="s">
        <v>20</v>
      </c>
      <c r="G26" s="2" t="s">
        <v>114</v>
      </c>
      <c r="H26" s="2" t="s">
        <v>115</v>
      </c>
      <c r="I26" s="2" t="s">
        <v>1032</v>
      </c>
      <c r="J26" s="2" t="s">
        <v>940</v>
      </c>
      <c r="K26" s="2" t="s">
        <v>1009</v>
      </c>
      <c r="L26" s="2" t="s">
        <v>1010</v>
      </c>
      <c r="M26" s="8">
        <v>46063</v>
      </c>
      <c r="N26" s="2"/>
      <c r="O26" s="2"/>
    </row>
    <row r="27" spans="1:15" ht="28.8">
      <c r="A27" s="2" t="s">
        <v>116</v>
      </c>
      <c r="B27" s="2" t="s">
        <v>65</v>
      </c>
      <c r="C27" s="2" t="s">
        <v>91</v>
      </c>
      <c r="D27" s="2" t="s">
        <v>18</v>
      </c>
      <c r="E27" s="2" t="s">
        <v>46</v>
      </c>
      <c r="F27" s="2" t="s">
        <v>20</v>
      </c>
      <c r="G27" s="2" t="s">
        <v>117</v>
      </c>
      <c r="H27" s="2" t="s">
        <v>118</v>
      </c>
      <c r="I27" s="2" t="s">
        <v>118</v>
      </c>
      <c r="J27" s="2" t="s">
        <v>940</v>
      </c>
      <c r="K27" s="2" t="s">
        <v>1009</v>
      </c>
      <c r="L27" s="2" t="s">
        <v>1010</v>
      </c>
      <c r="M27" s="8">
        <v>46063</v>
      </c>
      <c r="N27" s="2"/>
      <c r="O27" s="2"/>
    </row>
    <row r="28" spans="1:15" ht="43.2">
      <c r="A28" s="2" t="s">
        <v>119</v>
      </c>
      <c r="B28" s="2" t="s">
        <v>65</v>
      </c>
      <c r="C28" s="2" t="s">
        <v>91</v>
      </c>
      <c r="D28" s="2" t="s">
        <v>120</v>
      </c>
      <c r="E28" s="2" t="s">
        <v>31</v>
      </c>
      <c r="F28" s="2" t="s">
        <v>20</v>
      </c>
      <c r="G28" s="2" t="s">
        <v>121</v>
      </c>
      <c r="H28" s="2" t="s">
        <v>122</v>
      </c>
      <c r="I28" s="2" t="s">
        <v>1033</v>
      </c>
      <c r="J28" s="2" t="s">
        <v>943</v>
      </c>
      <c r="K28" s="2" t="s">
        <v>1034</v>
      </c>
      <c r="L28" s="2" t="s">
        <v>1010</v>
      </c>
      <c r="M28" s="8">
        <v>46063</v>
      </c>
      <c r="N28" s="2"/>
      <c r="O28" s="2"/>
    </row>
    <row r="29" spans="1:15" ht="86.4">
      <c r="A29" s="2" t="s">
        <v>123</v>
      </c>
      <c r="B29" s="2" t="s">
        <v>65</v>
      </c>
      <c r="C29" s="2" t="s">
        <v>91</v>
      </c>
      <c r="D29" s="2" t="s">
        <v>67</v>
      </c>
      <c r="E29" s="2" t="s">
        <v>31</v>
      </c>
      <c r="F29" s="2" t="s">
        <v>20</v>
      </c>
      <c r="G29" s="2" t="s">
        <v>124</v>
      </c>
      <c r="H29" s="2" t="s">
        <v>125</v>
      </c>
      <c r="I29" s="2" t="s">
        <v>1035</v>
      </c>
      <c r="J29" s="2" t="s">
        <v>940</v>
      </c>
      <c r="K29" s="2" t="s">
        <v>1009</v>
      </c>
      <c r="L29" s="2" t="s">
        <v>1010</v>
      </c>
      <c r="M29" s="8">
        <v>46063</v>
      </c>
      <c r="N29" s="2"/>
      <c r="O29" s="2"/>
    </row>
    <row r="30" spans="1:15" ht="57.6">
      <c r="A30" s="2" t="s">
        <v>126</v>
      </c>
      <c r="B30" s="2" t="s">
        <v>127</v>
      </c>
      <c r="C30" s="2" t="s">
        <v>128</v>
      </c>
      <c r="D30" s="2" t="s">
        <v>18</v>
      </c>
      <c r="E30" s="2" t="s">
        <v>19</v>
      </c>
      <c r="F30" s="2" t="s">
        <v>20</v>
      </c>
      <c r="G30" s="2" t="s">
        <v>129</v>
      </c>
      <c r="H30" s="2" t="s">
        <v>130</v>
      </c>
      <c r="I30" s="2" t="s">
        <v>1036</v>
      </c>
      <c r="J30" s="2" t="s">
        <v>940</v>
      </c>
      <c r="K30" s="2" t="s">
        <v>1009</v>
      </c>
      <c r="L30" s="2" t="s">
        <v>1010</v>
      </c>
      <c r="M30" s="8">
        <v>46063</v>
      </c>
      <c r="N30" s="2"/>
      <c r="O30" s="2"/>
    </row>
    <row r="31" spans="1:15" ht="43.2">
      <c r="A31" s="2" t="s">
        <v>131</v>
      </c>
      <c r="B31" s="2" t="s">
        <v>127</v>
      </c>
      <c r="C31" s="2" t="s">
        <v>128</v>
      </c>
      <c r="D31" s="2" t="s">
        <v>18</v>
      </c>
      <c r="E31" s="2" t="s">
        <v>19</v>
      </c>
      <c r="F31" s="2" t="s">
        <v>132</v>
      </c>
      <c r="G31" s="2" t="s">
        <v>133</v>
      </c>
      <c r="H31" s="2" t="s">
        <v>134</v>
      </c>
      <c r="I31" s="2" t="s">
        <v>1036</v>
      </c>
      <c r="J31" s="2" t="s">
        <v>940</v>
      </c>
      <c r="K31" s="2" t="s">
        <v>1009</v>
      </c>
      <c r="L31" s="2" t="s">
        <v>1010</v>
      </c>
      <c r="M31" s="8">
        <v>46063</v>
      </c>
      <c r="N31" s="2"/>
      <c r="O31" s="2"/>
    </row>
    <row r="32" spans="1:15" ht="28.8">
      <c r="A32" s="2" t="s">
        <v>135</v>
      </c>
      <c r="B32" s="2" t="s">
        <v>127</v>
      </c>
      <c r="C32" s="2" t="s">
        <v>128</v>
      </c>
      <c r="D32" s="2" t="s">
        <v>18</v>
      </c>
      <c r="E32" s="2" t="s">
        <v>19</v>
      </c>
      <c r="F32" s="2" t="s">
        <v>136</v>
      </c>
      <c r="G32" s="2" t="s">
        <v>137</v>
      </c>
      <c r="H32" s="2" t="s">
        <v>138</v>
      </c>
      <c r="I32" s="10" t="s">
        <v>1037</v>
      </c>
      <c r="J32" s="2" t="s">
        <v>940</v>
      </c>
      <c r="K32" s="2" t="s">
        <v>1009</v>
      </c>
      <c r="L32" s="2" t="s">
        <v>1010</v>
      </c>
      <c r="M32" s="8">
        <v>46063</v>
      </c>
      <c r="N32" s="2"/>
      <c r="O32" s="2"/>
    </row>
    <row r="33" spans="1:15" ht="28.8">
      <c r="A33" s="2" t="s">
        <v>139</v>
      </c>
      <c r="B33" s="2" t="s">
        <v>127</v>
      </c>
      <c r="C33" s="2" t="s">
        <v>128</v>
      </c>
      <c r="D33" s="2" t="s">
        <v>18</v>
      </c>
      <c r="E33" s="2" t="s">
        <v>19</v>
      </c>
      <c r="F33" s="2" t="s">
        <v>20</v>
      </c>
      <c r="G33" s="2" t="s">
        <v>140</v>
      </c>
      <c r="H33" s="2" t="s">
        <v>141</v>
      </c>
      <c r="I33" s="10" t="s">
        <v>1037</v>
      </c>
      <c r="J33" s="2" t="s">
        <v>940</v>
      </c>
      <c r="K33" s="2" t="s">
        <v>1009</v>
      </c>
      <c r="L33" s="2" t="s">
        <v>1010</v>
      </c>
      <c r="M33" s="8">
        <v>46063</v>
      </c>
      <c r="N33" s="2"/>
      <c r="O33" s="2"/>
    </row>
    <row r="34" spans="1:15" ht="28.8">
      <c r="A34" s="2" t="s">
        <v>142</v>
      </c>
      <c r="B34" s="2" t="s">
        <v>127</v>
      </c>
      <c r="C34" s="2" t="s">
        <v>128</v>
      </c>
      <c r="D34" s="2" t="s">
        <v>143</v>
      </c>
      <c r="E34" s="2" t="s">
        <v>19</v>
      </c>
      <c r="F34" s="2" t="s">
        <v>20</v>
      </c>
      <c r="G34" s="2" t="s">
        <v>144</v>
      </c>
      <c r="H34" s="2" t="s">
        <v>145</v>
      </c>
      <c r="I34" s="2" t="s">
        <v>145</v>
      </c>
      <c r="J34" s="2" t="s">
        <v>940</v>
      </c>
      <c r="K34" s="2" t="s">
        <v>1009</v>
      </c>
      <c r="L34" s="2" t="s">
        <v>1010</v>
      </c>
      <c r="M34" s="8">
        <v>46063</v>
      </c>
      <c r="N34" s="2"/>
      <c r="O34" s="2"/>
    </row>
    <row r="35" spans="1:15" ht="28.8">
      <c r="A35" s="2" t="s">
        <v>146</v>
      </c>
      <c r="B35" s="2" t="s">
        <v>127</v>
      </c>
      <c r="C35" s="2" t="s">
        <v>128</v>
      </c>
      <c r="D35" s="2" t="s">
        <v>143</v>
      </c>
      <c r="E35" s="2" t="s">
        <v>31</v>
      </c>
      <c r="F35" s="2" t="s">
        <v>20</v>
      </c>
      <c r="G35" s="2" t="s">
        <v>147</v>
      </c>
      <c r="H35" s="2" t="s">
        <v>148</v>
      </c>
      <c r="I35" s="11" t="s">
        <v>1038</v>
      </c>
      <c r="J35" s="2" t="s">
        <v>940</v>
      </c>
      <c r="K35" s="2" t="s">
        <v>1009</v>
      </c>
      <c r="L35" s="2" t="s">
        <v>1010</v>
      </c>
      <c r="M35" s="8">
        <v>46063</v>
      </c>
      <c r="N35" s="2"/>
      <c r="O35" s="2" t="s">
        <v>1039</v>
      </c>
    </row>
    <row r="36" spans="1:15">
      <c r="A36" s="2" t="s">
        <v>149</v>
      </c>
      <c r="B36" s="2" t="s">
        <v>127</v>
      </c>
      <c r="C36" s="2" t="s">
        <v>128</v>
      </c>
      <c r="D36" s="2" t="s">
        <v>143</v>
      </c>
      <c r="E36" s="2" t="s">
        <v>31</v>
      </c>
      <c r="F36" s="2" t="s">
        <v>20</v>
      </c>
      <c r="G36" s="2" t="s">
        <v>150</v>
      </c>
      <c r="H36" s="2" t="s">
        <v>151</v>
      </c>
      <c r="I36" s="2" t="s">
        <v>151</v>
      </c>
      <c r="J36" s="2" t="s">
        <v>940</v>
      </c>
      <c r="K36" s="2" t="s">
        <v>1009</v>
      </c>
      <c r="L36" s="2" t="s">
        <v>1010</v>
      </c>
      <c r="M36" s="8">
        <v>46063</v>
      </c>
      <c r="N36" s="2"/>
      <c r="O36" s="2"/>
    </row>
    <row r="37" spans="1:15" ht="28.8">
      <c r="A37" s="2" t="s">
        <v>152</v>
      </c>
      <c r="B37" s="2" t="s">
        <v>127</v>
      </c>
      <c r="C37" s="2" t="s">
        <v>128</v>
      </c>
      <c r="D37" s="2" t="s">
        <v>143</v>
      </c>
      <c r="E37" s="2" t="s">
        <v>31</v>
      </c>
      <c r="F37" s="2" t="s">
        <v>20</v>
      </c>
      <c r="G37" s="2" t="s">
        <v>153</v>
      </c>
      <c r="H37" s="2" t="s">
        <v>154</v>
      </c>
      <c r="I37" s="10" t="s">
        <v>1037</v>
      </c>
      <c r="J37" s="21" t="s">
        <v>940</v>
      </c>
      <c r="K37" s="2" t="s">
        <v>1009</v>
      </c>
      <c r="L37" s="2" t="s">
        <v>1010</v>
      </c>
      <c r="M37" s="8">
        <v>46063</v>
      </c>
      <c r="N37" s="2"/>
      <c r="O37" s="2"/>
    </row>
    <row r="38" spans="1:15" ht="28.8">
      <c r="A38" s="2" t="s">
        <v>155</v>
      </c>
      <c r="B38" s="2" t="s">
        <v>127</v>
      </c>
      <c r="C38" s="2" t="s">
        <v>128</v>
      </c>
      <c r="D38" s="2" t="s">
        <v>18</v>
      </c>
      <c r="E38" s="2" t="s">
        <v>31</v>
      </c>
      <c r="F38" s="2" t="s">
        <v>20</v>
      </c>
      <c r="G38" s="2" t="s">
        <v>156</v>
      </c>
      <c r="H38" s="2" t="s">
        <v>157</v>
      </c>
      <c r="I38" s="2" t="s">
        <v>1040</v>
      </c>
      <c r="J38" s="21" t="s">
        <v>940</v>
      </c>
      <c r="K38" s="2" t="s">
        <v>1009</v>
      </c>
      <c r="L38" s="2" t="s">
        <v>1010</v>
      </c>
      <c r="M38" s="8">
        <v>46063</v>
      </c>
      <c r="N38" s="2"/>
      <c r="O38" s="2"/>
    </row>
    <row r="39" spans="1:15">
      <c r="A39" s="2" t="s">
        <v>158</v>
      </c>
      <c r="B39" s="2" t="s">
        <v>127</v>
      </c>
      <c r="C39" s="2" t="s">
        <v>128</v>
      </c>
      <c r="D39" s="2" t="s">
        <v>18</v>
      </c>
      <c r="E39" s="2" t="s">
        <v>31</v>
      </c>
      <c r="F39" s="2" t="s">
        <v>20</v>
      </c>
      <c r="G39" s="2" t="s">
        <v>159</v>
      </c>
      <c r="H39" s="2" t="s">
        <v>160</v>
      </c>
      <c r="I39" s="2" t="s">
        <v>1013</v>
      </c>
      <c r="J39" s="2" t="s">
        <v>940</v>
      </c>
      <c r="K39" s="2" t="s">
        <v>1009</v>
      </c>
      <c r="L39" s="2" t="s">
        <v>1010</v>
      </c>
      <c r="M39" s="8">
        <v>46063</v>
      </c>
      <c r="N39" s="2"/>
      <c r="O39" s="2"/>
    </row>
    <row r="40" spans="1:15" ht="28.8">
      <c r="A40" s="2" t="s">
        <v>161</v>
      </c>
      <c r="B40" s="2" t="s">
        <v>127</v>
      </c>
      <c r="C40" s="2" t="s">
        <v>128</v>
      </c>
      <c r="D40" s="2" t="s">
        <v>18</v>
      </c>
      <c r="E40" s="2" t="s">
        <v>31</v>
      </c>
      <c r="F40" s="2" t="s">
        <v>20</v>
      </c>
      <c r="G40" s="2" t="s">
        <v>162</v>
      </c>
      <c r="H40" s="2" t="s">
        <v>163</v>
      </c>
      <c r="I40" s="2" t="s">
        <v>1041</v>
      </c>
      <c r="J40" s="21" t="s">
        <v>940</v>
      </c>
      <c r="K40" s="2" t="s">
        <v>1009</v>
      </c>
      <c r="L40" s="2" t="s">
        <v>1010</v>
      </c>
      <c r="M40" s="8">
        <v>46063</v>
      </c>
      <c r="N40" s="2"/>
      <c r="O40" s="2"/>
    </row>
    <row r="41" spans="1:15" ht="28.8">
      <c r="A41" s="2" t="s">
        <v>164</v>
      </c>
      <c r="B41" s="2" t="s">
        <v>127</v>
      </c>
      <c r="C41" s="2" t="s">
        <v>128</v>
      </c>
      <c r="D41" s="2" t="s">
        <v>18</v>
      </c>
      <c r="E41" s="2" t="s">
        <v>31</v>
      </c>
      <c r="F41" s="2" t="s">
        <v>20</v>
      </c>
      <c r="G41" s="2" t="s">
        <v>165</v>
      </c>
      <c r="H41" s="2" t="s">
        <v>166</v>
      </c>
      <c r="I41" s="11" t="s">
        <v>1042</v>
      </c>
      <c r="J41" s="2" t="s">
        <v>940</v>
      </c>
      <c r="K41" s="2" t="s">
        <v>1009</v>
      </c>
      <c r="L41" s="2" t="s">
        <v>1010</v>
      </c>
      <c r="M41" s="8">
        <v>46063</v>
      </c>
      <c r="N41" s="2"/>
      <c r="O41" s="2"/>
    </row>
    <row r="42" spans="1:15" ht="57.6">
      <c r="A42" s="2" t="s">
        <v>167</v>
      </c>
      <c r="B42" s="2" t="s">
        <v>127</v>
      </c>
      <c r="C42" s="2" t="s">
        <v>128</v>
      </c>
      <c r="D42" s="2" t="s">
        <v>18</v>
      </c>
      <c r="E42" s="2" t="s">
        <v>19</v>
      </c>
      <c r="F42" s="2" t="s">
        <v>136</v>
      </c>
      <c r="G42" s="2" t="s">
        <v>168</v>
      </c>
      <c r="H42" s="2" t="s">
        <v>169</v>
      </c>
      <c r="I42" s="12" t="s">
        <v>1043</v>
      </c>
      <c r="J42" s="2" t="s">
        <v>940</v>
      </c>
      <c r="K42" s="2" t="s">
        <v>1009</v>
      </c>
      <c r="L42" s="2" t="s">
        <v>1010</v>
      </c>
      <c r="M42" s="8">
        <v>46063</v>
      </c>
      <c r="N42" s="2"/>
      <c r="O42" s="2"/>
    </row>
    <row r="43" spans="1:15" ht="28.8">
      <c r="A43" s="2" t="s">
        <v>170</v>
      </c>
      <c r="B43" s="2" t="s">
        <v>127</v>
      </c>
      <c r="C43" s="2" t="s">
        <v>128</v>
      </c>
      <c r="D43" s="2" t="s">
        <v>18</v>
      </c>
      <c r="E43" s="2" t="s">
        <v>31</v>
      </c>
      <c r="F43" s="2" t="s">
        <v>20</v>
      </c>
      <c r="G43" s="2" t="s">
        <v>171</v>
      </c>
      <c r="H43" s="2" t="s">
        <v>172</v>
      </c>
      <c r="I43" t="s">
        <v>1044</v>
      </c>
      <c r="J43" s="2" t="s">
        <v>940</v>
      </c>
      <c r="K43" s="2" t="s">
        <v>1009</v>
      </c>
      <c r="L43" s="2" t="s">
        <v>1010</v>
      </c>
      <c r="M43" s="8">
        <v>46063</v>
      </c>
      <c r="N43" s="2"/>
      <c r="O43" s="2"/>
    </row>
    <row r="44" spans="1:15" ht="28.8">
      <c r="A44" s="2" t="s">
        <v>173</v>
      </c>
      <c r="B44" s="2" t="s">
        <v>127</v>
      </c>
      <c r="C44" s="2" t="s">
        <v>128</v>
      </c>
      <c r="D44" s="2" t="s">
        <v>18</v>
      </c>
      <c r="E44" s="2" t="s">
        <v>31</v>
      </c>
      <c r="F44" s="2" t="s">
        <v>20</v>
      </c>
      <c r="G44" s="2" t="s">
        <v>174</v>
      </c>
      <c r="H44" s="2" t="s">
        <v>175</v>
      </c>
      <c r="I44" s="2" t="s">
        <v>175</v>
      </c>
      <c r="J44" s="2" t="s">
        <v>940</v>
      </c>
      <c r="K44" s="2" t="s">
        <v>1009</v>
      </c>
      <c r="L44" s="2" t="s">
        <v>1010</v>
      </c>
      <c r="M44" s="8">
        <v>46063</v>
      </c>
      <c r="N44" s="2"/>
      <c r="O44" s="2"/>
    </row>
    <row r="45" spans="1:15" ht="28.8">
      <c r="A45" s="2" t="s">
        <v>176</v>
      </c>
      <c r="B45" s="2" t="s">
        <v>127</v>
      </c>
      <c r="C45" s="2" t="s">
        <v>128</v>
      </c>
      <c r="D45" s="2" t="s">
        <v>18</v>
      </c>
      <c r="E45" s="2" t="s">
        <v>31</v>
      </c>
      <c r="F45" s="2" t="s">
        <v>20</v>
      </c>
      <c r="G45" s="2" t="s">
        <v>177</v>
      </c>
      <c r="H45" s="2" t="s">
        <v>178</v>
      </c>
      <c r="I45" s="2" t="s">
        <v>1045</v>
      </c>
      <c r="J45" s="21" t="s">
        <v>940</v>
      </c>
      <c r="K45" s="2" t="s">
        <v>1009</v>
      </c>
      <c r="L45" s="2" t="s">
        <v>1010</v>
      </c>
      <c r="M45" s="8">
        <v>46063</v>
      </c>
      <c r="N45" s="2"/>
      <c r="O45" s="2"/>
    </row>
    <row r="46" spans="1:15" ht="28.8">
      <c r="A46" s="2" t="s">
        <v>179</v>
      </c>
      <c r="B46" s="2" t="s">
        <v>127</v>
      </c>
      <c r="C46" s="2" t="s">
        <v>128</v>
      </c>
      <c r="D46" s="2" t="s">
        <v>106</v>
      </c>
      <c r="E46" s="2" t="s">
        <v>19</v>
      </c>
      <c r="F46" s="2" t="s">
        <v>20</v>
      </c>
      <c r="G46" s="2" t="s">
        <v>180</v>
      </c>
      <c r="H46" s="2" t="s">
        <v>181</v>
      </c>
      <c r="I46" s="2" t="s">
        <v>1046</v>
      </c>
      <c r="J46" s="21" t="s">
        <v>940</v>
      </c>
      <c r="K46" s="2" t="s">
        <v>1009</v>
      </c>
      <c r="L46" s="2" t="s">
        <v>1010</v>
      </c>
      <c r="M46" s="8">
        <v>46063</v>
      </c>
      <c r="N46" s="2"/>
      <c r="O46" s="2"/>
    </row>
    <row r="47" spans="1:15" ht="28.8">
      <c r="A47" s="2" t="s">
        <v>182</v>
      </c>
      <c r="B47" s="2" t="s">
        <v>127</v>
      </c>
      <c r="C47" s="2" t="s">
        <v>128</v>
      </c>
      <c r="D47" s="2" t="s">
        <v>106</v>
      </c>
      <c r="E47" s="2" t="s">
        <v>19</v>
      </c>
      <c r="F47" s="2" t="s">
        <v>20</v>
      </c>
      <c r="G47" s="2" t="s">
        <v>183</v>
      </c>
      <c r="H47" s="2" t="s">
        <v>184</v>
      </c>
      <c r="I47" s="2" t="s">
        <v>1047</v>
      </c>
      <c r="J47" s="2" t="s">
        <v>940</v>
      </c>
      <c r="K47" s="2" t="s">
        <v>1009</v>
      </c>
      <c r="L47" s="2" t="s">
        <v>1010</v>
      </c>
      <c r="M47" s="8">
        <v>46063</v>
      </c>
      <c r="N47" s="2"/>
      <c r="O47" s="2"/>
    </row>
    <row r="48" spans="1:15" ht="86.4">
      <c r="A48" s="2" t="s">
        <v>185</v>
      </c>
      <c r="B48" s="2" t="s">
        <v>127</v>
      </c>
      <c r="C48" s="2" t="s">
        <v>128</v>
      </c>
      <c r="D48" s="2" t="s">
        <v>106</v>
      </c>
      <c r="E48" s="2" t="s">
        <v>31</v>
      </c>
      <c r="F48" s="2" t="s">
        <v>20</v>
      </c>
      <c r="G48" s="2" t="s">
        <v>186</v>
      </c>
      <c r="H48" s="2" t="s">
        <v>187</v>
      </c>
      <c r="I48" s="9" t="s">
        <v>1048</v>
      </c>
      <c r="J48" s="2" t="s">
        <v>940</v>
      </c>
      <c r="K48" s="2" t="s">
        <v>1009</v>
      </c>
      <c r="L48" s="2" t="s">
        <v>1010</v>
      </c>
      <c r="M48" s="8">
        <v>46063</v>
      </c>
      <c r="N48" s="2"/>
      <c r="O48" s="2"/>
    </row>
    <row r="49" spans="1:15" ht="28.8">
      <c r="A49" s="2" t="s">
        <v>188</v>
      </c>
      <c r="B49" s="2" t="s">
        <v>127</v>
      </c>
      <c r="C49" s="2" t="s">
        <v>128</v>
      </c>
      <c r="D49" s="2" t="s">
        <v>106</v>
      </c>
      <c r="E49" s="2" t="s">
        <v>31</v>
      </c>
      <c r="F49" s="2" t="s">
        <v>20</v>
      </c>
      <c r="G49" s="2" t="s">
        <v>189</v>
      </c>
      <c r="H49" s="2" t="s">
        <v>190</v>
      </c>
      <c r="I49" s="2" t="s">
        <v>1049</v>
      </c>
      <c r="J49" s="2" t="s">
        <v>940</v>
      </c>
      <c r="K49" s="2" t="s">
        <v>1009</v>
      </c>
      <c r="L49" s="2" t="s">
        <v>1010</v>
      </c>
      <c r="M49" s="8">
        <v>46063</v>
      </c>
      <c r="N49" s="2"/>
      <c r="O49" s="2"/>
    </row>
    <row r="50" spans="1:15" ht="86.4">
      <c r="A50" s="2" t="s">
        <v>191</v>
      </c>
      <c r="B50" s="2" t="s">
        <v>127</v>
      </c>
      <c r="C50" s="2" t="s">
        <v>128</v>
      </c>
      <c r="D50" s="2" t="s">
        <v>18</v>
      </c>
      <c r="E50" s="2" t="s">
        <v>31</v>
      </c>
      <c r="F50" s="2" t="s">
        <v>20</v>
      </c>
      <c r="G50" s="2" t="s">
        <v>192</v>
      </c>
      <c r="H50" s="2" t="s">
        <v>193</v>
      </c>
      <c r="I50" s="9" t="s">
        <v>1050</v>
      </c>
      <c r="J50" s="2" t="s">
        <v>941</v>
      </c>
      <c r="K50" s="2" t="s">
        <v>1009</v>
      </c>
      <c r="L50" s="2" t="s">
        <v>1010</v>
      </c>
      <c r="M50" s="8">
        <v>46063</v>
      </c>
      <c r="N50" s="2"/>
      <c r="O50" s="2"/>
    </row>
    <row r="51" spans="1:15">
      <c r="A51" s="2" t="s">
        <v>194</v>
      </c>
      <c r="B51" s="2" t="s">
        <v>127</v>
      </c>
      <c r="C51" s="2" t="s">
        <v>128</v>
      </c>
      <c r="D51" s="2" t="s">
        <v>18</v>
      </c>
      <c r="E51" s="2" t="s">
        <v>31</v>
      </c>
      <c r="F51" s="2" t="s">
        <v>20</v>
      </c>
      <c r="G51" s="2" t="s">
        <v>195</v>
      </c>
      <c r="H51" s="2" t="s">
        <v>196</v>
      </c>
      <c r="I51" s="2" t="s">
        <v>1013</v>
      </c>
      <c r="J51" s="2" t="s">
        <v>940</v>
      </c>
      <c r="K51" s="2" t="s">
        <v>1009</v>
      </c>
      <c r="L51" s="2" t="s">
        <v>1010</v>
      </c>
      <c r="M51" s="8">
        <v>46063</v>
      </c>
      <c r="N51" s="2"/>
      <c r="O51" s="2"/>
    </row>
    <row r="52" spans="1:15" ht="43.2">
      <c r="A52" s="2" t="s">
        <v>197</v>
      </c>
      <c r="B52" s="2" t="s">
        <v>127</v>
      </c>
      <c r="C52" s="2" t="s">
        <v>128</v>
      </c>
      <c r="D52" s="2" t="s">
        <v>18</v>
      </c>
      <c r="E52" s="2" t="s">
        <v>31</v>
      </c>
      <c r="F52" s="2" t="s">
        <v>198</v>
      </c>
      <c r="G52" s="2" t="s">
        <v>199</v>
      </c>
      <c r="H52" s="2" t="s">
        <v>200</v>
      </c>
      <c r="I52" s="2" t="s">
        <v>1051</v>
      </c>
      <c r="J52" s="2" t="s">
        <v>941</v>
      </c>
      <c r="K52" s="2" t="s">
        <v>1009</v>
      </c>
      <c r="L52" s="2" t="s">
        <v>1010</v>
      </c>
      <c r="M52" s="8">
        <v>46063</v>
      </c>
      <c r="N52" s="2"/>
      <c r="O52" s="2"/>
    </row>
    <row r="53" spans="1:15" ht="28.8">
      <c r="A53" s="2" t="s">
        <v>201</v>
      </c>
      <c r="B53" s="2" t="s">
        <v>127</v>
      </c>
      <c r="C53" s="2" t="s">
        <v>128</v>
      </c>
      <c r="D53" s="2" t="s">
        <v>18</v>
      </c>
      <c r="E53" s="2" t="s">
        <v>31</v>
      </c>
      <c r="F53" s="2" t="s">
        <v>20</v>
      </c>
      <c r="G53" s="2" t="s">
        <v>202</v>
      </c>
      <c r="H53" s="2" t="s">
        <v>203</v>
      </c>
      <c r="I53" s="2" t="s">
        <v>1013</v>
      </c>
      <c r="J53" s="2" t="s">
        <v>940</v>
      </c>
      <c r="K53" s="2" t="s">
        <v>1009</v>
      </c>
      <c r="L53" s="2" t="s">
        <v>1010</v>
      </c>
      <c r="M53" s="8">
        <v>46063</v>
      </c>
      <c r="N53" s="2"/>
      <c r="O53" s="2"/>
    </row>
    <row r="54" spans="1:15" ht="28.8">
      <c r="A54" s="2" t="s">
        <v>204</v>
      </c>
      <c r="B54" s="2" t="s">
        <v>127</v>
      </c>
      <c r="C54" s="2" t="s">
        <v>128</v>
      </c>
      <c r="D54" s="2" t="s">
        <v>18</v>
      </c>
      <c r="E54" s="2" t="s">
        <v>31</v>
      </c>
      <c r="F54" s="2" t="s">
        <v>20</v>
      </c>
      <c r="G54" s="2" t="s">
        <v>205</v>
      </c>
      <c r="H54" s="2" t="s">
        <v>206</v>
      </c>
      <c r="I54" s="2" t="s">
        <v>1052</v>
      </c>
      <c r="J54" s="2" t="s">
        <v>940</v>
      </c>
      <c r="K54" s="2" t="s">
        <v>1009</v>
      </c>
      <c r="L54" s="2" t="s">
        <v>1010</v>
      </c>
      <c r="M54" s="8">
        <v>46063</v>
      </c>
      <c r="N54" s="2"/>
      <c r="O54" s="2"/>
    </row>
    <row r="55" spans="1:15">
      <c r="A55" s="2" t="s">
        <v>207</v>
      </c>
      <c r="B55" s="2" t="s">
        <v>127</v>
      </c>
      <c r="C55" s="2" t="s">
        <v>128</v>
      </c>
      <c r="D55" s="2" t="s">
        <v>18</v>
      </c>
      <c r="E55" s="2" t="s">
        <v>46</v>
      </c>
      <c r="F55" s="2" t="s">
        <v>20</v>
      </c>
      <c r="G55" s="2" t="s">
        <v>208</v>
      </c>
      <c r="H55" s="2" t="s">
        <v>209</v>
      </c>
      <c r="I55" s="2" t="s">
        <v>1053</v>
      </c>
      <c r="J55" s="2" t="s">
        <v>940</v>
      </c>
      <c r="K55" s="2" t="s">
        <v>1009</v>
      </c>
      <c r="L55" s="2" t="s">
        <v>1010</v>
      </c>
      <c r="M55" s="8">
        <v>46063</v>
      </c>
      <c r="N55" s="2"/>
      <c r="O55" s="2"/>
    </row>
    <row r="56" spans="1:15">
      <c r="A56" s="2" t="s">
        <v>210</v>
      </c>
      <c r="B56" s="2" t="s">
        <v>127</v>
      </c>
      <c r="C56" s="2" t="s">
        <v>128</v>
      </c>
      <c r="D56" s="2" t="s">
        <v>18</v>
      </c>
      <c r="E56" s="2" t="s">
        <v>31</v>
      </c>
      <c r="F56" s="2" t="s">
        <v>211</v>
      </c>
      <c r="G56" s="2" t="s">
        <v>212</v>
      </c>
      <c r="H56" s="2" t="s">
        <v>213</v>
      </c>
      <c r="I56" s="2"/>
      <c r="J56" s="2" t="s">
        <v>23</v>
      </c>
      <c r="K56" s="2"/>
      <c r="L56" s="2"/>
      <c r="M56" s="2"/>
      <c r="N56" s="2"/>
      <c r="O56" s="2"/>
    </row>
    <row r="57" spans="1:15" ht="43.2">
      <c r="A57" s="2" t="s">
        <v>214</v>
      </c>
      <c r="B57" s="2" t="s">
        <v>127</v>
      </c>
      <c r="C57" s="2" t="s">
        <v>128</v>
      </c>
      <c r="D57" s="2" t="s">
        <v>45</v>
      </c>
      <c r="E57" s="2" t="s">
        <v>46</v>
      </c>
      <c r="F57" s="2" t="s">
        <v>20</v>
      </c>
      <c r="G57" s="2" t="s">
        <v>215</v>
      </c>
      <c r="H57" s="2" t="s">
        <v>216</v>
      </c>
      <c r="I57" s="2"/>
      <c r="J57" s="2" t="s">
        <v>940</v>
      </c>
      <c r="K57" s="2"/>
      <c r="L57" s="2"/>
      <c r="M57" s="2"/>
      <c r="N57" s="2"/>
      <c r="O57" s="2"/>
    </row>
    <row r="58" spans="1:15" ht="43.2">
      <c r="A58" s="2" t="s">
        <v>217</v>
      </c>
      <c r="B58" s="2" t="s">
        <v>127</v>
      </c>
      <c r="C58" s="2" t="s">
        <v>128</v>
      </c>
      <c r="D58" s="2" t="s">
        <v>50</v>
      </c>
      <c r="E58" s="2" t="s">
        <v>31</v>
      </c>
      <c r="F58" s="2" t="s">
        <v>20</v>
      </c>
      <c r="G58" s="2" t="s">
        <v>218</v>
      </c>
      <c r="H58" s="2" t="s">
        <v>219</v>
      </c>
      <c r="I58" s="2"/>
      <c r="J58" s="2" t="s">
        <v>940</v>
      </c>
      <c r="K58" s="2"/>
      <c r="L58" s="2"/>
      <c r="M58" s="2"/>
      <c r="N58" s="2"/>
      <c r="O58" s="2"/>
    </row>
    <row r="59" spans="1:15" ht="28.8">
      <c r="A59" s="2" t="s">
        <v>220</v>
      </c>
      <c r="B59" s="2" t="s">
        <v>127</v>
      </c>
      <c r="C59" s="2" t="s">
        <v>128</v>
      </c>
      <c r="D59" s="2" t="s">
        <v>113</v>
      </c>
      <c r="E59" s="2" t="s">
        <v>46</v>
      </c>
      <c r="F59" s="2" t="s">
        <v>20</v>
      </c>
      <c r="G59" s="2" t="s">
        <v>221</v>
      </c>
      <c r="H59" s="2" t="s">
        <v>222</v>
      </c>
      <c r="I59" s="2"/>
      <c r="J59" s="2" t="s">
        <v>23</v>
      </c>
      <c r="K59" s="2"/>
      <c r="L59" s="2"/>
      <c r="M59" s="2"/>
      <c r="N59" s="2"/>
      <c r="O59" s="2"/>
    </row>
    <row r="60" spans="1:15" ht="28.8">
      <c r="A60" s="2" t="s">
        <v>223</v>
      </c>
      <c r="B60" s="2" t="s">
        <v>127</v>
      </c>
      <c r="C60" s="2" t="s">
        <v>128</v>
      </c>
      <c r="D60" s="2" t="s">
        <v>18</v>
      </c>
      <c r="E60" s="2" t="s">
        <v>31</v>
      </c>
      <c r="F60" s="2" t="s">
        <v>224</v>
      </c>
      <c r="G60" s="2" t="s">
        <v>225</v>
      </c>
      <c r="H60" s="2" t="s">
        <v>226</v>
      </c>
      <c r="I60" s="2"/>
      <c r="J60" s="2" t="s">
        <v>23</v>
      </c>
      <c r="K60" s="2"/>
      <c r="L60" s="2"/>
      <c r="M60" s="2"/>
      <c r="N60" s="2"/>
      <c r="O60" s="2"/>
    </row>
    <row r="61" spans="1:15">
      <c r="A61" s="2" t="s">
        <v>227</v>
      </c>
      <c r="B61" s="2" t="s">
        <v>127</v>
      </c>
      <c r="C61" s="2" t="s">
        <v>128</v>
      </c>
      <c r="D61" s="2" t="s">
        <v>18</v>
      </c>
      <c r="E61" s="2" t="s">
        <v>46</v>
      </c>
      <c r="F61" s="2" t="s">
        <v>20</v>
      </c>
      <c r="G61" s="2" t="s">
        <v>228</v>
      </c>
      <c r="H61" s="2" t="s">
        <v>229</v>
      </c>
      <c r="I61" s="2"/>
      <c r="J61" s="2" t="s">
        <v>23</v>
      </c>
      <c r="K61" s="2"/>
      <c r="L61" s="2"/>
      <c r="M61" s="2"/>
      <c r="N61" s="2"/>
      <c r="O61" s="2"/>
    </row>
    <row r="62" spans="1:15" ht="57.6">
      <c r="A62" s="2" t="s">
        <v>230</v>
      </c>
      <c r="B62" s="2" t="s">
        <v>231</v>
      </c>
      <c r="C62" s="2" t="s">
        <v>232</v>
      </c>
      <c r="D62" s="2" t="s">
        <v>18</v>
      </c>
      <c r="E62" s="2" t="s">
        <v>19</v>
      </c>
      <c r="F62" s="2" t="s">
        <v>20</v>
      </c>
      <c r="G62" s="2" t="s">
        <v>233</v>
      </c>
      <c r="H62" s="2" t="s">
        <v>234</v>
      </c>
      <c r="I62" s="2"/>
      <c r="J62" s="2" t="s">
        <v>23</v>
      </c>
      <c r="K62" s="2"/>
      <c r="L62" s="2"/>
      <c r="M62" s="2"/>
      <c r="N62" s="2"/>
      <c r="O62" s="2"/>
    </row>
    <row r="63" spans="1:15" ht="43.2">
      <c r="A63" s="2" t="s">
        <v>235</v>
      </c>
      <c r="B63" s="2" t="s">
        <v>231</v>
      </c>
      <c r="C63" s="2" t="s">
        <v>232</v>
      </c>
      <c r="D63" s="2" t="s">
        <v>18</v>
      </c>
      <c r="E63" s="2" t="s">
        <v>19</v>
      </c>
      <c r="F63" s="2" t="s">
        <v>20</v>
      </c>
      <c r="G63" s="2" t="s">
        <v>236</v>
      </c>
      <c r="H63" s="2" t="s">
        <v>237</v>
      </c>
      <c r="I63" s="2"/>
      <c r="J63" s="2" t="s">
        <v>23</v>
      </c>
      <c r="K63" s="2"/>
      <c r="L63" s="2"/>
      <c r="M63" s="2"/>
      <c r="N63" s="2"/>
      <c r="O63" s="2"/>
    </row>
    <row r="64" spans="1:15" ht="28.8">
      <c r="A64" s="2" t="s">
        <v>238</v>
      </c>
      <c r="B64" s="2" t="s">
        <v>231</v>
      </c>
      <c r="C64" s="2" t="s">
        <v>232</v>
      </c>
      <c r="D64" s="2" t="s">
        <v>143</v>
      </c>
      <c r="E64" s="2" t="s">
        <v>19</v>
      </c>
      <c r="F64" s="2" t="s">
        <v>20</v>
      </c>
      <c r="G64" s="2" t="s">
        <v>239</v>
      </c>
      <c r="H64" s="2" t="s">
        <v>240</v>
      </c>
      <c r="I64" s="2"/>
      <c r="J64" s="2" t="s">
        <v>23</v>
      </c>
      <c r="K64" s="2"/>
      <c r="L64" s="2"/>
      <c r="M64" s="2"/>
      <c r="N64" s="2"/>
      <c r="O64" s="2"/>
    </row>
    <row r="65" spans="1:15">
      <c r="A65" s="2" t="s">
        <v>241</v>
      </c>
      <c r="B65" s="2" t="s">
        <v>231</v>
      </c>
      <c r="C65" s="2" t="s">
        <v>232</v>
      </c>
      <c r="D65" s="2" t="s">
        <v>143</v>
      </c>
      <c r="E65" s="2" t="s">
        <v>31</v>
      </c>
      <c r="F65" s="2" t="s">
        <v>20</v>
      </c>
      <c r="G65" s="2" t="s">
        <v>242</v>
      </c>
      <c r="H65" s="2" t="s">
        <v>243</v>
      </c>
      <c r="I65" s="2"/>
      <c r="J65" s="2" t="s">
        <v>23</v>
      </c>
      <c r="K65" s="2"/>
      <c r="L65" s="2"/>
      <c r="M65" s="2"/>
      <c r="N65" s="2"/>
      <c r="O65" s="2"/>
    </row>
    <row r="66" spans="1:15" ht="28.8">
      <c r="A66" s="2" t="s">
        <v>244</v>
      </c>
      <c r="B66" s="2" t="s">
        <v>231</v>
      </c>
      <c r="C66" s="2" t="s">
        <v>232</v>
      </c>
      <c r="D66" s="2" t="s">
        <v>143</v>
      </c>
      <c r="E66" s="2" t="s">
        <v>31</v>
      </c>
      <c r="F66" s="2" t="s">
        <v>20</v>
      </c>
      <c r="G66" s="2" t="s">
        <v>245</v>
      </c>
      <c r="H66" s="2" t="s">
        <v>246</v>
      </c>
      <c r="I66" s="2"/>
      <c r="J66" s="2" t="s">
        <v>23</v>
      </c>
      <c r="K66" s="2"/>
      <c r="L66" s="2"/>
      <c r="M66" s="2"/>
      <c r="N66" s="2"/>
      <c r="O66" s="2"/>
    </row>
    <row r="67" spans="1:15" ht="28.8">
      <c r="A67" s="2" t="s">
        <v>247</v>
      </c>
      <c r="B67" s="2" t="s">
        <v>231</v>
      </c>
      <c r="C67" s="2" t="s">
        <v>232</v>
      </c>
      <c r="D67" s="2" t="s">
        <v>143</v>
      </c>
      <c r="E67" s="2" t="s">
        <v>19</v>
      </c>
      <c r="F67" s="2" t="s">
        <v>20</v>
      </c>
      <c r="G67" s="2" t="s">
        <v>248</v>
      </c>
      <c r="H67" s="2" t="s">
        <v>249</v>
      </c>
      <c r="I67" s="2"/>
      <c r="J67" s="2" t="s">
        <v>23</v>
      </c>
      <c r="K67" s="2"/>
      <c r="L67" s="2"/>
      <c r="M67" s="2"/>
      <c r="N67" s="2"/>
      <c r="O67" s="2"/>
    </row>
    <row r="68" spans="1:15" ht="28.8">
      <c r="A68" s="2" t="s">
        <v>250</v>
      </c>
      <c r="B68" s="2" t="s">
        <v>231</v>
      </c>
      <c r="C68" s="2" t="s">
        <v>232</v>
      </c>
      <c r="D68" s="2" t="s">
        <v>143</v>
      </c>
      <c r="E68" s="2" t="s">
        <v>19</v>
      </c>
      <c r="F68" s="2" t="s">
        <v>251</v>
      </c>
      <c r="G68" s="2" t="s">
        <v>252</v>
      </c>
      <c r="H68" s="2" t="s">
        <v>253</v>
      </c>
      <c r="I68" s="2"/>
      <c r="J68" s="2" t="s">
        <v>23</v>
      </c>
      <c r="K68" s="2"/>
      <c r="L68" s="2"/>
      <c r="M68" s="2"/>
      <c r="N68" s="2"/>
      <c r="O68" s="2"/>
    </row>
    <row r="69" spans="1:15" ht="28.8">
      <c r="A69" s="2" t="s">
        <v>254</v>
      </c>
      <c r="B69" s="2" t="s">
        <v>231</v>
      </c>
      <c r="C69" s="2" t="s">
        <v>232</v>
      </c>
      <c r="D69" s="2" t="s">
        <v>143</v>
      </c>
      <c r="E69" s="2" t="s">
        <v>31</v>
      </c>
      <c r="F69" s="2" t="s">
        <v>251</v>
      </c>
      <c r="G69" s="2" t="s">
        <v>255</v>
      </c>
      <c r="H69" s="2" t="s">
        <v>256</v>
      </c>
      <c r="I69" s="2"/>
      <c r="J69" s="2" t="s">
        <v>23</v>
      </c>
      <c r="K69" s="2"/>
      <c r="L69" s="2"/>
      <c r="M69" s="2"/>
      <c r="N69" s="2"/>
      <c r="O69" s="2"/>
    </row>
    <row r="70" spans="1:15">
      <c r="A70" s="2" t="s">
        <v>257</v>
      </c>
      <c r="B70" s="2" t="s">
        <v>231</v>
      </c>
      <c r="C70" s="2" t="s">
        <v>232</v>
      </c>
      <c r="D70" s="2" t="s">
        <v>143</v>
      </c>
      <c r="E70" s="2" t="s">
        <v>19</v>
      </c>
      <c r="F70" s="2" t="s">
        <v>20</v>
      </c>
      <c r="G70" s="2" t="s">
        <v>258</v>
      </c>
      <c r="H70" s="2" t="s">
        <v>259</v>
      </c>
      <c r="I70" s="2"/>
      <c r="J70" s="2" t="s">
        <v>23</v>
      </c>
      <c r="K70" s="2"/>
      <c r="L70" s="2"/>
      <c r="M70" s="2"/>
      <c r="N70" s="2"/>
      <c r="O70" s="2"/>
    </row>
    <row r="71" spans="1:15" ht="28.8">
      <c r="A71" s="2" t="s">
        <v>260</v>
      </c>
      <c r="B71" s="2" t="s">
        <v>231</v>
      </c>
      <c r="C71" s="2" t="s">
        <v>232</v>
      </c>
      <c r="D71" s="2" t="s">
        <v>143</v>
      </c>
      <c r="E71" s="2" t="s">
        <v>19</v>
      </c>
      <c r="F71" s="2" t="s">
        <v>20</v>
      </c>
      <c r="G71" s="2" t="s">
        <v>261</v>
      </c>
      <c r="H71" s="2" t="s">
        <v>262</v>
      </c>
      <c r="I71" s="2"/>
      <c r="J71" s="2" t="s">
        <v>23</v>
      </c>
      <c r="K71" s="2"/>
      <c r="L71" s="2"/>
      <c r="M71" s="2"/>
      <c r="N71" s="2"/>
      <c r="O71" s="2"/>
    </row>
    <row r="72" spans="1:15" ht="43.2">
      <c r="A72" s="2" t="s">
        <v>263</v>
      </c>
      <c r="B72" s="2" t="s">
        <v>231</v>
      </c>
      <c r="C72" s="2" t="s">
        <v>232</v>
      </c>
      <c r="D72" s="2" t="s">
        <v>18</v>
      </c>
      <c r="E72" s="2" t="s">
        <v>31</v>
      </c>
      <c r="F72" s="2" t="s">
        <v>20</v>
      </c>
      <c r="G72" s="2" t="s">
        <v>264</v>
      </c>
      <c r="H72" s="2" t="s">
        <v>265</v>
      </c>
      <c r="I72" s="2"/>
      <c r="J72" s="2" t="s">
        <v>23</v>
      </c>
      <c r="K72" s="2"/>
      <c r="L72" s="2"/>
      <c r="M72" s="2"/>
      <c r="N72" s="2"/>
      <c r="O72" s="2"/>
    </row>
    <row r="73" spans="1:15" ht="43.2">
      <c r="A73" s="2" t="s">
        <v>266</v>
      </c>
      <c r="B73" s="2" t="s">
        <v>231</v>
      </c>
      <c r="C73" s="2" t="s">
        <v>232</v>
      </c>
      <c r="D73" s="2" t="s">
        <v>143</v>
      </c>
      <c r="E73" s="2" t="s">
        <v>31</v>
      </c>
      <c r="F73" s="2" t="s">
        <v>20</v>
      </c>
      <c r="G73" s="2" t="s">
        <v>267</v>
      </c>
      <c r="H73" s="2" t="s">
        <v>268</v>
      </c>
      <c r="I73" s="2"/>
      <c r="J73" s="2" t="s">
        <v>23</v>
      </c>
      <c r="K73" s="2"/>
      <c r="L73" s="2"/>
      <c r="M73" s="2"/>
      <c r="N73" s="2"/>
      <c r="O73" s="2"/>
    </row>
    <row r="74" spans="1:15">
      <c r="A74" s="2" t="s">
        <v>269</v>
      </c>
      <c r="B74" s="2" t="s">
        <v>231</v>
      </c>
      <c r="C74" s="2" t="s">
        <v>232</v>
      </c>
      <c r="D74" s="2" t="s">
        <v>18</v>
      </c>
      <c r="E74" s="2" t="s">
        <v>31</v>
      </c>
      <c r="F74" s="2" t="s">
        <v>20</v>
      </c>
      <c r="G74" s="2" t="s">
        <v>270</v>
      </c>
      <c r="H74" s="2" t="s">
        <v>271</v>
      </c>
      <c r="I74" s="2"/>
      <c r="J74" s="2" t="s">
        <v>23</v>
      </c>
      <c r="K74" s="2"/>
      <c r="L74" s="2"/>
      <c r="M74" s="2"/>
      <c r="N74" s="2"/>
      <c r="O74" s="2"/>
    </row>
    <row r="75" spans="1:15" ht="43.2">
      <c r="A75" s="2" t="s">
        <v>272</v>
      </c>
      <c r="B75" s="2" t="s">
        <v>231</v>
      </c>
      <c r="C75" s="2" t="s">
        <v>232</v>
      </c>
      <c r="D75" s="2" t="s">
        <v>18</v>
      </c>
      <c r="E75" s="2" t="s">
        <v>19</v>
      </c>
      <c r="F75" s="2" t="s">
        <v>20</v>
      </c>
      <c r="G75" s="2" t="s">
        <v>273</v>
      </c>
      <c r="H75" s="2" t="s">
        <v>274</v>
      </c>
      <c r="I75" s="2"/>
      <c r="J75" s="2" t="s">
        <v>23</v>
      </c>
      <c r="K75" s="2"/>
      <c r="L75" s="2"/>
      <c r="M75" s="2"/>
      <c r="N75" s="2"/>
      <c r="O75" s="2"/>
    </row>
    <row r="76" spans="1:15" ht="28.8">
      <c r="A76" s="2" t="s">
        <v>275</v>
      </c>
      <c r="B76" s="2" t="s">
        <v>231</v>
      </c>
      <c r="C76" s="2" t="s">
        <v>232</v>
      </c>
      <c r="D76" s="2" t="s">
        <v>18</v>
      </c>
      <c r="E76" s="2" t="s">
        <v>31</v>
      </c>
      <c r="F76" s="2" t="s">
        <v>20</v>
      </c>
      <c r="G76" s="2" t="s">
        <v>276</v>
      </c>
      <c r="H76" s="2" t="s">
        <v>277</v>
      </c>
      <c r="I76" s="2"/>
      <c r="J76" s="2" t="s">
        <v>23</v>
      </c>
      <c r="K76" s="2"/>
      <c r="L76" s="2"/>
      <c r="M76" s="2"/>
      <c r="N76" s="2"/>
      <c r="O76" s="2"/>
    </row>
    <row r="77" spans="1:15" ht="28.8">
      <c r="A77" s="2" t="s">
        <v>278</v>
      </c>
      <c r="B77" s="2" t="s">
        <v>231</v>
      </c>
      <c r="C77" s="2" t="s">
        <v>232</v>
      </c>
      <c r="D77" s="2" t="s">
        <v>143</v>
      </c>
      <c r="E77" s="2" t="s">
        <v>31</v>
      </c>
      <c r="F77" s="2" t="s">
        <v>20</v>
      </c>
      <c r="G77" s="2" t="s">
        <v>279</v>
      </c>
      <c r="H77" s="2" t="s">
        <v>280</v>
      </c>
      <c r="I77" s="2"/>
      <c r="J77" s="2" t="s">
        <v>23</v>
      </c>
      <c r="K77" s="2"/>
      <c r="L77" s="2"/>
      <c r="M77" s="2"/>
      <c r="N77" s="2"/>
      <c r="O77" s="2"/>
    </row>
    <row r="78" spans="1:15" ht="28.8">
      <c r="A78" s="2" t="s">
        <v>281</v>
      </c>
      <c r="B78" s="2" t="s">
        <v>231</v>
      </c>
      <c r="C78" s="2" t="s">
        <v>232</v>
      </c>
      <c r="D78" s="2" t="s">
        <v>18</v>
      </c>
      <c r="E78" s="2" t="s">
        <v>31</v>
      </c>
      <c r="F78" s="2" t="s">
        <v>20</v>
      </c>
      <c r="G78" s="2" t="s">
        <v>282</v>
      </c>
      <c r="H78" s="2" t="s">
        <v>283</v>
      </c>
      <c r="I78" s="2"/>
      <c r="J78" s="2" t="s">
        <v>23</v>
      </c>
      <c r="K78" s="2"/>
      <c r="L78" s="2"/>
      <c r="M78" s="2"/>
      <c r="N78" s="2"/>
      <c r="O78" s="2"/>
    </row>
    <row r="79" spans="1:15">
      <c r="A79" s="2" t="s">
        <v>284</v>
      </c>
      <c r="B79" s="2" t="s">
        <v>231</v>
      </c>
      <c r="C79" s="2" t="s">
        <v>232</v>
      </c>
      <c r="D79" s="2" t="s">
        <v>18</v>
      </c>
      <c r="E79" s="2" t="s">
        <v>31</v>
      </c>
      <c r="F79" s="2" t="s">
        <v>20</v>
      </c>
      <c r="G79" s="2" t="s">
        <v>285</v>
      </c>
      <c r="H79" s="2" t="s">
        <v>286</v>
      </c>
      <c r="I79" s="2"/>
      <c r="J79" s="2" t="s">
        <v>23</v>
      </c>
      <c r="K79" s="2"/>
      <c r="L79" s="2"/>
      <c r="M79" s="2"/>
      <c r="N79" s="2"/>
      <c r="O79" s="2"/>
    </row>
    <row r="80" spans="1:15" ht="43.2">
      <c r="A80" s="2" t="s">
        <v>287</v>
      </c>
      <c r="B80" s="2" t="s">
        <v>231</v>
      </c>
      <c r="C80" s="2" t="s">
        <v>232</v>
      </c>
      <c r="D80" s="2" t="s">
        <v>18</v>
      </c>
      <c r="E80" s="2" t="s">
        <v>19</v>
      </c>
      <c r="F80" s="2" t="s">
        <v>20</v>
      </c>
      <c r="G80" s="2" t="s">
        <v>288</v>
      </c>
      <c r="H80" s="2" t="s">
        <v>289</v>
      </c>
      <c r="I80" s="2"/>
      <c r="J80" s="2" t="s">
        <v>23</v>
      </c>
      <c r="K80" s="2"/>
      <c r="L80" s="2"/>
      <c r="M80" s="2"/>
      <c r="N80" s="2"/>
      <c r="O80" s="2"/>
    </row>
    <row r="81" spans="1:15" ht="28.8">
      <c r="A81" s="2" t="s">
        <v>290</v>
      </c>
      <c r="B81" s="2" t="s">
        <v>231</v>
      </c>
      <c r="C81" s="2" t="s">
        <v>232</v>
      </c>
      <c r="D81" s="2" t="s">
        <v>18</v>
      </c>
      <c r="E81" s="2" t="s">
        <v>31</v>
      </c>
      <c r="F81" s="2" t="s">
        <v>20</v>
      </c>
      <c r="G81" s="2" t="s">
        <v>291</v>
      </c>
      <c r="H81" s="2" t="s">
        <v>292</v>
      </c>
      <c r="I81" s="2"/>
      <c r="J81" s="2" t="s">
        <v>23</v>
      </c>
      <c r="K81" s="2"/>
      <c r="L81" s="2"/>
      <c r="M81" s="2"/>
      <c r="N81" s="2"/>
      <c r="O81" s="2"/>
    </row>
    <row r="82" spans="1:15" ht="43.2">
      <c r="A82" s="2" t="s">
        <v>293</v>
      </c>
      <c r="B82" s="2" t="s">
        <v>231</v>
      </c>
      <c r="C82" s="2" t="s">
        <v>232</v>
      </c>
      <c r="D82" s="2" t="s">
        <v>18</v>
      </c>
      <c r="E82" s="2" t="s">
        <v>31</v>
      </c>
      <c r="F82" s="2" t="s">
        <v>20</v>
      </c>
      <c r="G82" s="2" t="s">
        <v>294</v>
      </c>
      <c r="H82" s="2" t="s">
        <v>295</v>
      </c>
      <c r="I82" s="2"/>
      <c r="J82" s="2" t="s">
        <v>23</v>
      </c>
      <c r="K82" s="2"/>
      <c r="L82" s="2"/>
      <c r="M82" s="2"/>
      <c r="N82" s="2"/>
      <c r="O82" s="2"/>
    </row>
    <row r="83" spans="1:15" ht="28.8">
      <c r="A83" s="2" t="s">
        <v>296</v>
      </c>
      <c r="B83" s="2" t="s">
        <v>231</v>
      </c>
      <c r="C83" s="2" t="s">
        <v>232</v>
      </c>
      <c r="D83" s="2" t="s">
        <v>18</v>
      </c>
      <c r="E83" s="2" t="s">
        <v>31</v>
      </c>
      <c r="F83" s="2" t="s">
        <v>20</v>
      </c>
      <c r="G83" s="2" t="s">
        <v>297</v>
      </c>
      <c r="H83" s="2" t="s">
        <v>298</v>
      </c>
      <c r="I83" s="2"/>
      <c r="J83" s="2" t="s">
        <v>23</v>
      </c>
      <c r="K83" s="2"/>
      <c r="L83" s="2"/>
      <c r="M83" s="2"/>
      <c r="N83" s="2"/>
      <c r="O83" s="2"/>
    </row>
    <row r="84" spans="1:15">
      <c r="A84" s="2" t="s">
        <v>299</v>
      </c>
      <c r="B84" s="2" t="s">
        <v>231</v>
      </c>
      <c r="C84" s="2" t="s">
        <v>232</v>
      </c>
      <c r="D84" s="2" t="s">
        <v>106</v>
      </c>
      <c r="E84" s="2" t="s">
        <v>19</v>
      </c>
      <c r="F84" s="2" t="s">
        <v>20</v>
      </c>
      <c r="G84" s="2" t="s">
        <v>300</v>
      </c>
      <c r="H84" s="2" t="s">
        <v>301</v>
      </c>
      <c r="I84" s="2"/>
      <c r="J84" s="2" t="s">
        <v>23</v>
      </c>
      <c r="K84" s="2"/>
      <c r="L84" s="2"/>
      <c r="M84" s="2"/>
      <c r="N84" s="2"/>
      <c r="O84" s="2"/>
    </row>
    <row r="85" spans="1:15" ht="28.8">
      <c r="A85" s="2" t="s">
        <v>302</v>
      </c>
      <c r="B85" s="2" t="s">
        <v>231</v>
      </c>
      <c r="C85" s="2" t="s">
        <v>232</v>
      </c>
      <c r="D85" s="2" t="s">
        <v>106</v>
      </c>
      <c r="E85" s="2" t="s">
        <v>31</v>
      </c>
      <c r="F85" s="2" t="s">
        <v>20</v>
      </c>
      <c r="G85" s="2" t="s">
        <v>303</v>
      </c>
      <c r="H85" s="2" t="s">
        <v>304</v>
      </c>
      <c r="I85" s="2"/>
      <c r="J85" s="2" t="s">
        <v>23</v>
      </c>
      <c r="K85" s="2"/>
      <c r="L85" s="2"/>
      <c r="M85" s="2"/>
      <c r="N85" s="2"/>
      <c r="O85" s="2"/>
    </row>
    <row r="86" spans="1:15">
      <c r="A86" s="2" t="s">
        <v>305</v>
      </c>
      <c r="B86" s="2" t="s">
        <v>231</v>
      </c>
      <c r="C86" s="2" t="s">
        <v>232</v>
      </c>
      <c r="D86" s="2" t="s">
        <v>106</v>
      </c>
      <c r="E86" s="2" t="s">
        <v>19</v>
      </c>
      <c r="F86" s="2" t="s">
        <v>20</v>
      </c>
      <c r="G86" s="2" t="s">
        <v>306</v>
      </c>
      <c r="H86" s="2" t="s">
        <v>307</v>
      </c>
      <c r="I86" s="2"/>
      <c r="J86" s="2" t="s">
        <v>23</v>
      </c>
      <c r="K86" s="2"/>
      <c r="L86" s="2"/>
      <c r="M86" s="2"/>
      <c r="N86" s="2"/>
      <c r="O86" s="2"/>
    </row>
    <row r="87" spans="1:15">
      <c r="A87" s="2" t="s">
        <v>308</v>
      </c>
      <c r="B87" s="2" t="s">
        <v>231</v>
      </c>
      <c r="C87" s="2" t="s">
        <v>232</v>
      </c>
      <c r="D87" s="2" t="s">
        <v>18</v>
      </c>
      <c r="E87" s="2" t="s">
        <v>31</v>
      </c>
      <c r="F87" s="2" t="s">
        <v>20</v>
      </c>
      <c r="G87" s="2" t="s">
        <v>309</v>
      </c>
      <c r="H87" s="2" t="s">
        <v>310</v>
      </c>
      <c r="I87" s="2"/>
      <c r="J87" s="2" t="s">
        <v>23</v>
      </c>
      <c r="K87" s="2"/>
      <c r="L87" s="2"/>
      <c r="M87" s="2"/>
      <c r="N87" s="2"/>
      <c r="O87" s="2"/>
    </row>
    <row r="88" spans="1:15">
      <c r="A88" s="2" t="s">
        <v>311</v>
      </c>
      <c r="B88" s="2" t="s">
        <v>231</v>
      </c>
      <c r="C88" s="2" t="s">
        <v>232</v>
      </c>
      <c r="D88" s="2" t="s">
        <v>18</v>
      </c>
      <c r="E88" s="2" t="s">
        <v>31</v>
      </c>
      <c r="F88" s="2" t="s">
        <v>20</v>
      </c>
      <c r="G88" s="2" t="s">
        <v>312</v>
      </c>
      <c r="H88" s="2" t="s">
        <v>313</v>
      </c>
      <c r="I88" s="2"/>
      <c r="J88" s="2" t="s">
        <v>23</v>
      </c>
      <c r="K88" s="2"/>
      <c r="L88" s="2"/>
      <c r="M88" s="2"/>
      <c r="N88" s="2"/>
      <c r="O88" s="2"/>
    </row>
    <row r="89" spans="1:15" ht="28.8">
      <c r="A89" s="2" t="s">
        <v>314</v>
      </c>
      <c r="B89" s="2" t="s">
        <v>231</v>
      </c>
      <c r="C89" s="2" t="s">
        <v>232</v>
      </c>
      <c r="D89" s="2" t="s">
        <v>18</v>
      </c>
      <c r="E89" s="2" t="s">
        <v>31</v>
      </c>
      <c r="F89" s="2" t="s">
        <v>20</v>
      </c>
      <c r="G89" s="2" t="s">
        <v>315</v>
      </c>
      <c r="H89" s="2" t="s">
        <v>316</v>
      </c>
      <c r="I89" s="2"/>
      <c r="J89" s="2" t="s">
        <v>23</v>
      </c>
      <c r="K89" s="2"/>
      <c r="L89" s="2"/>
      <c r="M89" s="2"/>
      <c r="N89" s="2"/>
      <c r="O89" s="2"/>
    </row>
    <row r="90" spans="1:15" ht="28.8">
      <c r="A90" s="2" t="s">
        <v>317</v>
      </c>
      <c r="B90" s="2" t="s">
        <v>231</v>
      </c>
      <c r="C90" s="2" t="s">
        <v>232</v>
      </c>
      <c r="D90" s="2" t="s">
        <v>50</v>
      </c>
      <c r="E90" s="2" t="s">
        <v>31</v>
      </c>
      <c r="F90" s="2" t="s">
        <v>20</v>
      </c>
      <c r="G90" s="2" t="s">
        <v>318</v>
      </c>
      <c r="H90" s="2" t="s">
        <v>319</v>
      </c>
      <c r="I90" s="2"/>
      <c r="J90" s="2" t="s">
        <v>23</v>
      </c>
      <c r="K90" s="2"/>
      <c r="L90" s="2"/>
      <c r="M90" s="2"/>
      <c r="N90" s="2"/>
      <c r="O90" s="2"/>
    </row>
    <row r="91" spans="1:15" ht="28.8">
      <c r="A91" s="2" t="s">
        <v>320</v>
      </c>
      <c r="B91" s="2" t="s">
        <v>231</v>
      </c>
      <c r="C91" s="2" t="s">
        <v>232</v>
      </c>
      <c r="D91" s="2" t="s">
        <v>113</v>
      </c>
      <c r="E91" s="2" t="s">
        <v>46</v>
      </c>
      <c r="F91" s="2" t="s">
        <v>20</v>
      </c>
      <c r="G91" s="2" t="s">
        <v>321</v>
      </c>
      <c r="H91" s="2" t="s">
        <v>322</v>
      </c>
      <c r="I91" s="2"/>
      <c r="J91" s="2" t="s">
        <v>23</v>
      </c>
      <c r="K91" s="2"/>
      <c r="L91" s="2"/>
      <c r="M91" s="2"/>
      <c r="N91" s="2"/>
      <c r="O91" s="2"/>
    </row>
    <row r="92" spans="1:15">
      <c r="A92" s="2" t="s">
        <v>323</v>
      </c>
      <c r="B92" s="2" t="s">
        <v>231</v>
      </c>
      <c r="C92" s="2" t="s">
        <v>232</v>
      </c>
      <c r="D92" s="2" t="s">
        <v>18</v>
      </c>
      <c r="E92" s="2" t="s">
        <v>46</v>
      </c>
      <c r="F92" s="2" t="s">
        <v>20</v>
      </c>
      <c r="G92" s="2" t="s">
        <v>228</v>
      </c>
      <c r="H92" s="2" t="s">
        <v>324</v>
      </c>
      <c r="I92" s="2"/>
      <c r="J92" s="2" t="s">
        <v>23</v>
      </c>
      <c r="K92" s="2"/>
      <c r="L92" s="2"/>
      <c r="M92" s="2"/>
      <c r="N92" s="2"/>
      <c r="O92" s="2"/>
    </row>
    <row r="93" spans="1:15" ht="57.6">
      <c r="A93" s="2" t="s">
        <v>325</v>
      </c>
      <c r="B93" s="2" t="s">
        <v>326</v>
      </c>
      <c r="C93" s="2" t="s">
        <v>327</v>
      </c>
      <c r="D93" s="2" t="s">
        <v>18</v>
      </c>
      <c r="E93" s="2" t="s">
        <v>19</v>
      </c>
      <c r="F93" s="2" t="s">
        <v>328</v>
      </c>
      <c r="G93" s="2" t="s">
        <v>329</v>
      </c>
      <c r="H93" s="2" t="s">
        <v>330</v>
      </c>
      <c r="I93" s="2"/>
      <c r="J93" s="2" t="s">
        <v>23</v>
      </c>
      <c r="K93" s="2"/>
      <c r="L93" s="2"/>
      <c r="M93" s="2"/>
      <c r="N93" s="2"/>
      <c r="O93" s="2"/>
    </row>
    <row r="94" spans="1:15" ht="43.2">
      <c r="A94" s="2" t="s">
        <v>331</v>
      </c>
      <c r="B94" s="2" t="s">
        <v>326</v>
      </c>
      <c r="C94" s="2" t="s">
        <v>327</v>
      </c>
      <c r="D94" s="2" t="s">
        <v>18</v>
      </c>
      <c r="E94" s="2" t="s">
        <v>19</v>
      </c>
      <c r="F94" s="2" t="s">
        <v>20</v>
      </c>
      <c r="G94" s="2" t="s">
        <v>332</v>
      </c>
      <c r="H94" s="2" t="s">
        <v>333</v>
      </c>
      <c r="I94" s="2"/>
      <c r="J94" s="2" t="s">
        <v>23</v>
      </c>
      <c r="K94" s="2"/>
      <c r="L94" s="2"/>
      <c r="M94" s="2"/>
      <c r="N94" s="2"/>
      <c r="O94" s="2"/>
    </row>
    <row r="95" spans="1:15" ht="28.8">
      <c r="A95" s="2" t="s">
        <v>334</v>
      </c>
      <c r="B95" s="2" t="s">
        <v>326</v>
      </c>
      <c r="C95" s="2" t="s">
        <v>327</v>
      </c>
      <c r="D95" s="2" t="s">
        <v>18</v>
      </c>
      <c r="E95" s="2" t="s">
        <v>19</v>
      </c>
      <c r="F95" s="2" t="s">
        <v>20</v>
      </c>
      <c r="G95" s="2" t="s">
        <v>335</v>
      </c>
      <c r="H95" s="2" t="s">
        <v>336</v>
      </c>
      <c r="I95" s="2"/>
      <c r="J95" s="2" t="s">
        <v>23</v>
      </c>
      <c r="K95" s="2"/>
      <c r="L95" s="2"/>
      <c r="M95" s="2"/>
      <c r="N95" s="2"/>
      <c r="O95" s="2"/>
    </row>
    <row r="96" spans="1:15">
      <c r="A96" s="2" t="s">
        <v>337</v>
      </c>
      <c r="B96" s="2" t="s">
        <v>326</v>
      </c>
      <c r="C96" s="2" t="s">
        <v>327</v>
      </c>
      <c r="D96" s="2" t="s">
        <v>18</v>
      </c>
      <c r="E96" s="2" t="s">
        <v>19</v>
      </c>
      <c r="F96" s="2" t="s">
        <v>338</v>
      </c>
      <c r="G96" s="2" t="s">
        <v>339</v>
      </c>
      <c r="H96" s="2" t="s">
        <v>340</v>
      </c>
      <c r="I96" s="2"/>
      <c r="J96" s="2" t="s">
        <v>23</v>
      </c>
      <c r="K96" s="2"/>
      <c r="L96" s="2"/>
      <c r="M96" s="2"/>
      <c r="N96" s="2"/>
      <c r="O96" s="2"/>
    </row>
    <row r="97" spans="1:15">
      <c r="A97" s="2" t="s">
        <v>341</v>
      </c>
      <c r="B97" s="2" t="s">
        <v>326</v>
      </c>
      <c r="C97" s="2" t="s">
        <v>327</v>
      </c>
      <c r="D97" s="2" t="s">
        <v>18</v>
      </c>
      <c r="E97" s="2" t="s">
        <v>31</v>
      </c>
      <c r="F97" s="2" t="s">
        <v>342</v>
      </c>
      <c r="G97" s="2" t="s">
        <v>343</v>
      </c>
      <c r="H97" s="2" t="s">
        <v>344</v>
      </c>
      <c r="I97" s="2"/>
      <c r="J97" s="2" t="s">
        <v>23</v>
      </c>
      <c r="K97" s="2"/>
      <c r="L97" s="2"/>
      <c r="M97" s="2"/>
      <c r="N97" s="2"/>
      <c r="O97" s="2"/>
    </row>
    <row r="98" spans="1:15" ht="28.8">
      <c r="A98" s="2" t="s">
        <v>345</v>
      </c>
      <c r="B98" s="2" t="s">
        <v>326</v>
      </c>
      <c r="C98" s="2" t="s">
        <v>327</v>
      </c>
      <c r="D98" s="2" t="s">
        <v>18</v>
      </c>
      <c r="E98" s="2" t="s">
        <v>31</v>
      </c>
      <c r="F98" s="2" t="s">
        <v>346</v>
      </c>
      <c r="G98" s="2" t="s">
        <v>347</v>
      </c>
      <c r="H98" s="2" t="s">
        <v>348</v>
      </c>
      <c r="I98" s="2"/>
      <c r="J98" s="2" t="s">
        <v>23</v>
      </c>
      <c r="K98" s="2"/>
      <c r="L98" s="2"/>
      <c r="M98" s="2"/>
      <c r="N98" s="2"/>
      <c r="O98" s="2"/>
    </row>
    <row r="99" spans="1:15" ht="43.2">
      <c r="A99" s="2" t="s">
        <v>349</v>
      </c>
      <c r="B99" s="2" t="s">
        <v>326</v>
      </c>
      <c r="C99" s="2" t="s">
        <v>327</v>
      </c>
      <c r="D99" s="2" t="s">
        <v>106</v>
      </c>
      <c r="E99" s="2" t="s">
        <v>31</v>
      </c>
      <c r="F99" s="2" t="s">
        <v>20</v>
      </c>
      <c r="G99" s="2" t="s">
        <v>350</v>
      </c>
      <c r="H99" s="2" t="s">
        <v>351</v>
      </c>
      <c r="I99" s="2"/>
      <c r="J99" s="2" t="s">
        <v>23</v>
      </c>
      <c r="K99" s="2"/>
      <c r="L99" s="2"/>
      <c r="M99" s="2"/>
      <c r="N99" s="2"/>
      <c r="O99" s="2"/>
    </row>
    <row r="100" spans="1:15" ht="57.6">
      <c r="A100" s="2" t="s">
        <v>352</v>
      </c>
      <c r="B100" s="2" t="s">
        <v>326</v>
      </c>
      <c r="C100" s="2" t="s">
        <v>327</v>
      </c>
      <c r="D100" s="2" t="s">
        <v>18</v>
      </c>
      <c r="E100" s="2" t="s">
        <v>31</v>
      </c>
      <c r="F100" s="2" t="s">
        <v>353</v>
      </c>
      <c r="G100" s="2" t="s">
        <v>354</v>
      </c>
      <c r="H100" s="2" t="s">
        <v>355</v>
      </c>
      <c r="I100" s="2"/>
      <c r="J100" s="2" t="s">
        <v>23</v>
      </c>
      <c r="K100" s="2"/>
      <c r="L100" s="2"/>
      <c r="M100" s="2"/>
      <c r="N100" s="2"/>
      <c r="O100" s="2"/>
    </row>
    <row r="101" spans="1:15" ht="28.8">
      <c r="A101" s="2" t="s">
        <v>356</v>
      </c>
      <c r="B101" s="2" t="s">
        <v>326</v>
      </c>
      <c r="C101" s="2" t="s">
        <v>327</v>
      </c>
      <c r="D101" s="2" t="s">
        <v>18</v>
      </c>
      <c r="E101" s="2" t="s">
        <v>31</v>
      </c>
      <c r="F101" s="2" t="s">
        <v>357</v>
      </c>
      <c r="G101" s="2" t="s">
        <v>358</v>
      </c>
      <c r="H101" s="2" t="s">
        <v>359</v>
      </c>
      <c r="I101" s="2"/>
      <c r="J101" s="2" t="s">
        <v>23</v>
      </c>
      <c r="K101" s="2"/>
      <c r="L101" s="2"/>
      <c r="M101" s="2"/>
      <c r="N101" s="2"/>
      <c r="O101" s="2"/>
    </row>
    <row r="102" spans="1:15">
      <c r="A102" s="2" t="s">
        <v>360</v>
      </c>
      <c r="B102" s="2" t="s">
        <v>326</v>
      </c>
      <c r="C102" s="2" t="s">
        <v>327</v>
      </c>
      <c r="D102" s="2" t="s">
        <v>18</v>
      </c>
      <c r="E102" s="2" t="s">
        <v>31</v>
      </c>
      <c r="F102" s="2" t="s">
        <v>361</v>
      </c>
      <c r="G102" s="2" t="s">
        <v>362</v>
      </c>
      <c r="H102" s="2" t="s">
        <v>363</v>
      </c>
      <c r="I102" s="2"/>
      <c r="J102" s="2" t="s">
        <v>23</v>
      </c>
      <c r="K102" s="2"/>
      <c r="L102" s="2"/>
      <c r="M102" s="2"/>
      <c r="N102" s="2"/>
      <c r="O102" s="2"/>
    </row>
    <row r="103" spans="1:15">
      <c r="A103" s="2" t="s">
        <v>364</v>
      </c>
      <c r="B103" s="2" t="s">
        <v>326</v>
      </c>
      <c r="C103" s="2" t="s">
        <v>327</v>
      </c>
      <c r="D103" s="2" t="s">
        <v>67</v>
      </c>
      <c r="E103" s="2" t="s">
        <v>46</v>
      </c>
      <c r="F103" s="2" t="s">
        <v>20</v>
      </c>
      <c r="G103" s="2" t="s">
        <v>365</v>
      </c>
      <c r="H103" s="2" t="s">
        <v>366</v>
      </c>
      <c r="I103" s="2"/>
      <c r="J103" s="2" t="s">
        <v>23</v>
      </c>
      <c r="K103" s="2"/>
      <c r="L103" s="2"/>
      <c r="M103" s="2"/>
      <c r="N103" s="2"/>
      <c r="O103" s="2"/>
    </row>
    <row r="104" spans="1:15" ht="28.8">
      <c r="A104" s="2" t="s">
        <v>367</v>
      </c>
      <c r="B104" s="2" t="s">
        <v>368</v>
      </c>
      <c r="C104" s="2" t="s">
        <v>369</v>
      </c>
      <c r="D104" s="2" t="s">
        <v>18</v>
      </c>
      <c r="E104" s="2" t="s">
        <v>19</v>
      </c>
      <c r="F104" s="2" t="s">
        <v>370</v>
      </c>
      <c r="G104" s="2" t="s">
        <v>371</v>
      </c>
      <c r="H104" s="2" t="s">
        <v>372</v>
      </c>
      <c r="I104" s="2"/>
      <c r="J104" s="2" t="s">
        <v>23</v>
      </c>
      <c r="K104" s="2"/>
      <c r="L104" s="2"/>
      <c r="M104" s="2"/>
      <c r="N104" s="2"/>
      <c r="O104" s="2"/>
    </row>
    <row r="105" spans="1:15" ht="28.8">
      <c r="A105" s="2" t="s">
        <v>373</v>
      </c>
      <c r="B105" s="2" t="s">
        <v>368</v>
      </c>
      <c r="C105" s="2" t="s">
        <v>369</v>
      </c>
      <c r="D105" s="2" t="s">
        <v>143</v>
      </c>
      <c r="E105" s="2" t="s">
        <v>19</v>
      </c>
      <c r="F105" s="2" t="s">
        <v>374</v>
      </c>
      <c r="G105" s="2" t="s">
        <v>375</v>
      </c>
      <c r="H105" s="2" t="s">
        <v>376</v>
      </c>
      <c r="I105" s="2"/>
      <c r="J105" s="2" t="s">
        <v>23</v>
      </c>
      <c r="K105" s="2"/>
      <c r="L105" s="2"/>
      <c r="M105" s="2"/>
      <c r="N105" s="2"/>
      <c r="O105" s="2"/>
    </row>
    <row r="106" spans="1:15">
      <c r="A106" s="2" t="s">
        <v>377</v>
      </c>
      <c r="B106" s="2" t="s">
        <v>368</v>
      </c>
      <c r="C106" s="2" t="s">
        <v>369</v>
      </c>
      <c r="D106" s="2" t="s">
        <v>143</v>
      </c>
      <c r="E106" s="2" t="s">
        <v>31</v>
      </c>
      <c r="F106" s="2" t="s">
        <v>374</v>
      </c>
      <c r="G106" s="2" t="s">
        <v>378</v>
      </c>
      <c r="H106" s="2" t="s">
        <v>249</v>
      </c>
      <c r="I106" s="2"/>
      <c r="J106" s="2" t="s">
        <v>23</v>
      </c>
      <c r="K106" s="2"/>
      <c r="L106" s="2"/>
      <c r="M106" s="2"/>
      <c r="N106" s="2"/>
      <c r="O106" s="2"/>
    </row>
    <row r="107" spans="1:15" ht="28.8">
      <c r="A107" s="2" t="s">
        <v>379</v>
      </c>
      <c r="B107" s="2" t="s">
        <v>368</v>
      </c>
      <c r="C107" s="2" t="s">
        <v>369</v>
      </c>
      <c r="D107" s="2" t="s">
        <v>18</v>
      </c>
      <c r="E107" s="2" t="s">
        <v>19</v>
      </c>
      <c r="F107" s="2" t="s">
        <v>374</v>
      </c>
      <c r="G107" s="2" t="s">
        <v>380</v>
      </c>
      <c r="H107" s="2" t="s">
        <v>381</v>
      </c>
      <c r="I107" s="2"/>
      <c r="J107" s="2" t="s">
        <v>23</v>
      </c>
      <c r="K107" s="2"/>
      <c r="L107" s="2"/>
      <c r="M107" s="2"/>
      <c r="N107" s="2"/>
      <c r="O107" s="2"/>
    </row>
    <row r="108" spans="1:15" ht="28.8">
      <c r="A108" s="2" t="s">
        <v>382</v>
      </c>
      <c r="B108" s="2" t="s">
        <v>368</v>
      </c>
      <c r="C108" s="2" t="s">
        <v>369</v>
      </c>
      <c r="D108" s="2" t="s">
        <v>143</v>
      </c>
      <c r="E108" s="2" t="s">
        <v>46</v>
      </c>
      <c r="F108" s="2" t="s">
        <v>374</v>
      </c>
      <c r="G108" s="2" t="s">
        <v>383</v>
      </c>
      <c r="H108" s="2" t="s">
        <v>384</v>
      </c>
      <c r="I108" s="2"/>
      <c r="J108" s="2" t="s">
        <v>23</v>
      </c>
      <c r="K108" s="2"/>
      <c r="L108" s="2"/>
      <c r="M108" s="2"/>
      <c r="N108" s="2"/>
      <c r="O108" s="2"/>
    </row>
    <row r="109" spans="1:15" ht="43.2">
      <c r="A109" s="2" t="s">
        <v>385</v>
      </c>
      <c r="B109" s="2" t="s">
        <v>368</v>
      </c>
      <c r="C109" s="2" t="s">
        <v>369</v>
      </c>
      <c r="D109" s="2" t="s">
        <v>18</v>
      </c>
      <c r="E109" s="2" t="s">
        <v>31</v>
      </c>
      <c r="F109" s="2" t="s">
        <v>386</v>
      </c>
      <c r="G109" s="2" t="s">
        <v>387</v>
      </c>
      <c r="H109" s="2" t="s">
        <v>388</v>
      </c>
      <c r="I109" s="2"/>
      <c r="J109" s="2" t="s">
        <v>23</v>
      </c>
      <c r="K109" s="2"/>
      <c r="L109" s="2"/>
      <c r="M109" s="2"/>
      <c r="N109" s="2"/>
      <c r="O109" s="2"/>
    </row>
    <row r="110" spans="1:15" ht="28.8">
      <c r="A110" s="2" t="s">
        <v>389</v>
      </c>
      <c r="B110" s="2" t="s">
        <v>368</v>
      </c>
      <c r="C110" s="2" t="s">
        <v>369</v>
      </c>
      <c r="D110" s="2" t="s">
        <v>18</v>
      </c>
      <c r="E110" s="2" t="s">
        <v>31</v>
      </c>
      <c r="F110" s="2" t="s">
        <v>386</v>
      </c>
      <c r="G110" s="2" t="s">
        <v>390</v>
      </c>
      <c r="H110" s="2" t="s">
        <v>391</v>
      </c>
      <c r="I110" s="2"/>
      <c r="J110" s="2" t="s">
        <v>23</v>
      </c>
      <c r="K110" s="2"/>
      <c r="L110" s="2"/>
      <c r="M110" s="2"/>
      <c r="N110" s="2"/>
      <c r="O110" s="2"/>
    </row>
    <row r="111" spans="1:15" ht="28.8">
      <c r="A111" s="2" t="s">
        <v>392</v>
      </c>
      <c r="B111" s="2" t="s">
        <v>368</v>
      </c>
      <c r="C111" s="2" t="s">
        <v>369</v>
      </c>
      <c r="D111" s="2" t="s">
        <v>18</v>
      </c>
      <c r="E111" s="2" t="s">
        <v>31</v>
      </c>
      <c r="F111" s="2" t="s">
        <v>393</v>
      </c>
      <c r="G111" s="2" t="s">
        <v>394</v>
      </c>
      <c r="H111" s="2" t="s">
        <v>395</v>
      </c>
      <c r="I111" s="2"/>
      <c r="J111" s="2" t="s">
        <v>23</v>
      </c>
      <c r="K111" s="2"/>
      <c r="L111" s="2"/>
      <c r="M111" s="2"/>
      <c r="N111" s="2"/>
      <c r="O111" s="2"/>
    </row>
    <row r="112" spans="1:15">
      <c r="A112" s="2" t="s">
        <v>396</v>
      </c>
      <c r="B112" s="2" t="s">
        <v>368</v>
      </c>
      <c r="C112" s="2" t="s">
        <v>369</v>
      </c>
      <c r="D112" s="2" t="s">
        <v>106</v>
      </c>
      <c r="E112" s="2" t="s">
        <v>19</v>
      </c>
      <c r="F112" s="2" t="s">
        <v>20</v>
      </c>
      <c r="G112" s="2" t="s">
        <v>397</v>
      </c>
      <c r="H112" s="2" t="s">
        <v>398</v>
      </c>
      <c r="I112" s="2"/>
      <c r="J112" s="2" t="s">
        <v>23</v>
      </c>
      <c r="K112" s="2"/>
      <c r="L112" s="2"/>
      <c r="M112" s="2"/>
      <c r="N112" s="2"/>
      <c r="O112" s="2"/>
    </row>
    <row r="113" spans="1:15" ht="28.8">
      <c r="A113" s="2" t="s">
        <v>399</v>
      </c>
      <c r="B113" s="2" t="s">
        <v>368</v>
      </c>
      <c r="C113" s="2" t="s">
        <v>369</v>
      </c>
      <c r="D113" s="2" t="s">
        <v>18</v>
      </c>
      <c r="E113" s="2" t="s">
        <v>46</v>
      </c>
      <c r="F113" s="2" t="s">
        <v>400</v>
      </c>
      <c r="G113" s="2" t="s">
        <v>401</v>
      </c>
      <c r="H113" s="2" t="s">
        <v>402</v>
      </c>
      <c r="I113" s="2"/>
      <c r="J113" s="2" t="s">
        <v>23</v>
      </c>
      <c r="K113" s="2"/>
      <c r="L113" s="2"/>
      <c r="M113" s="2"/>
      <c r="N113" s="2"/>
      <c r="O113" s="2"/>
    </row>
    <row r="114" spans="1:15" ht="28.8">
      <c r="A114" s="2" t="s">
        <v>403</v>
      </c>
      <c r="B114" s="2" t="s">
        <v>404</v>
      </c>
      <c r="C114" s="2" t="s">
        <v>405</v>
      </c>
      <c r="D114" s="2" t="s">
        <v>18</v>
      </c>
      <c r="E114" s="2" t="s">
        <v>19</v>
      </c>
      <c r="F114" s="2" t="s">
        <v>406</v>
      </c>
      <c r="G114" s="2" t="s">
        <v>407</v>
      </c>
      <c r="H114" s="2" t="s">
        <v>408</v>
      </c>
      <c r="I114" s="2"/>
      <c r="J114" s="2" t="s">
        <v>23</v>
      </c>
      <c r="K114" s="2"/>
      <c r="L114" s="2"/>
      <c r="M114" s="2"/>
      <c r="N114" s="2"/>
      <c r="O114" s="2"/>
    </row>
    <row r="115" spans="1:15" ht="28.8">
      <c r="A115" s="2" t="s">
        <v>409</v>
      </c>
      <c r="B115" s="2" t="s">
        <v>404</v>
      </c>
      <c r="C115" s="2" t="s">
        <v>405</v>
      </c>
      <c r="D115" s="2" t="s">
        <v>18</v>
      </c>
      <c r="E115" s="2" t="s">
        <v>31</v>
      </c>
      <c r="F115" s="2" t="s">
        <v>374</v>
      </c>
      <c r="G115" s="2" t="s">
        <v>410</v>
      </c>
      <c r="H115" s="2" t="s">
        <v>411</v>
      </c>
      <c r="I115" s="2"/>
      <c r="J115" s="2" t="s">
        <v>23</v>
      </c>
      <c r="K115" s="2"/>
      <c r="L115" s="2"/>
      <c r="M115" s="2"/>
      <c r="N115" s="2"/>
      <c r="O115" s="2"/>
    </row>
    <row r="116" spans="1:15">
      <c r="A116" s="2" t="s">
        <v>412</v>
      </c>
      <c r="B116" s="2" t="s">
        <v>404</v>
      </c>
      <c r="C116" s="2" t="s">
        <v>405</v>
      </c>
      <c r="D116" s="2" t="s">
        <v>18</v>
      </c>
      <c r="E116" s="2" t="s">
        <v>19</v>
      </c>
      <c r="F116" s="2" t="s">
        <v>374</v>
      </c>
      <c r="G116" s="2" t="s">
        <v>413</v>
      </c>
      <c r="H116" s="2" t="s">
        <v>414</v>
      </c>
      <c r="I116" s="2"/>
      <c r="J116" s="2" t="s">
        <v>23</v>
      </c>
      <c r="K116" s="2"/>
      <c r="L116" s="2"/>
      <c r="M116" s="2"/>
      <c r="N116" s="2"/>
      <c r="O116" s="2"/>
    </row>
    <row r="117" spans="1:15" ht="43.2">
      <c r="A117" s="2" t="s">
        <v>415</v>
      </c>
      <c r="B117" s="2" t="s">
        <v>404</v>
      </c>
      <c r="C117" s="2" t="s">
        <v>405</v>
      </c>
      <c r="D117" s="2" t="s">
        <v>18</v>
      </c>
      <c r="E117" s="2" t="s">
        <v>19</v>
      </c>
      <c r="F117" s="2" t="s">
        <v>374</v>
      </c>
      <c r="G117" s="2" t="s">
        <v>416</v>
      </c>
      <c r="H117" s="2" t="s">
        <v>417</v>
      </c>
      <c r="I117" s="2"/>
      <c r="J117" s="2" t="s">
        <v>23</v>
      </c>
      <c r="K117" s="2"/>
      <c r="L117" s="2"/>
      <c r="M117" s="2"/>
      <c r="N117" s="2"/>
      <c r="O117" s="2"/>
    </row>
    <row r="118" spans="1:15" ht="28.8">
      <c r="A118" s="2" t="s">
        <v>418</v>
      </c>
      <c r="B118" s="2" t="s">
        <v>404</v>
      </c>
      <c r="C118" s="2" t="s">
        <v>405</v>
      </c>
      <c r="D118" s="2" t="s">
        <v>18</v>
      </c>
      <c r="E118" s="2" t="s">
        <v>31</v>
      </c>
      <c r="F118" s="2" t="s">
        <v>419</v>
      </c>
      <c r="G118" s="2" t="s">
        <v>420</v>
      </c>
      <c r="H118" s="2" t="s">
        <v>421</v>
      </c>
      <c r="I118" s="2"/>
      <c r="J118" s="2" t="s">
        <v>23</v>
      </c>
      <c r="K118" s="2"/>
      <c r="L118" s="2"/>
      <c r="M118" s="2"/>
      <c r="N118" s="2"/>
      <c r="O118" s="2"/>
    </row>
    <row r="119" spans="1:15" ht="28.8">
      <c r="A119" s="2" t="s">
        <v>422</v>
      </c>
      <c r="B119" s="2" t="s">
        <v>404</v>
      </c>
      <c r="C119" s="2" t="s">
        <v>405</v>
      </c>
      <c r="D119" s="2" t="s">
        <v>18</v>
      </c>
      <c r="E119" s="2" t="s">
        <v>31</v>
      </c>
      <c r="F119" s="2" t="s">
        <v>423</v>
      </c>
      <c r="G119" s="2" t="s">
        <v>424</v>
      </c>
      <c r="H119" s="2" t="s">
        <v>425</v>
      </c>
      <c r="I119" s="2"/>
      <c r="J119" s="2" t="s">
        <v>23</v>
      </c>
      <c r="K119" s="2"/>
      <c r="L119" s="2"/>
      <c r="M119" s="2"/>
      <c r="N119" s="2"/>
      <c r="O119" s="2"/>
    </row>
    <row r="120" spans="1:15" ht="28.8">
      <c r="A120" s="2" t="s">
        <v>426</v>
      </c>
      <c r="B120" s="2" t="s">
        <v>404</v>
      </c>
      <c r="C120" s="2" t="s">
        <v>405</v>
      </c>
      <c r="D120" s="2" t="s">
        <v>67</v>
      </c>
      <c r="E120" s="2" t="s">
        <v>31</v>
      </c>
      <c r="F120" s="2" t="s">
        <v>427</v>
      </c>
      <c r="G120" s="2" t="s">
        <v>428</v>
      </c>
      <c r="H120" s="2" t="s">
        <v>429</v>
      </c>
      <c r="I120" s="2"/>
      <c r="J120" s="2" t="s">
        <v>23</v>
      </c>
      <c r="K120" s="2"/>
      <c r="L120" s="2"/>
      <c r="M120" s="2"/>
      <c r="N120" s="2"/>
      <c r="O120" s="2"/>
    </row>
    <row r="121" spans="1:15">
      <c r="A121" s="2" t="s">
        <v>430</v>
      </c>
      <c r="B121" s="2" t="s">
        <v>404</v>
      </c>
      <c r="C121" s="2" t="s">
        <v>405</v>
      </c>
      <c r="D121" s="2" t="s">
        <v>106</v>
      </c>
      <c r="E121" s="2" t="s">
        <v>19</v>
      </c>
      <c r="F121" s="2" t="s">
        <v>20</v>
      </c>
      <c r="G121" s="2" t="s">
        <v>431</v>
      </c>
      <c r="H121" s="2" t="s">
        <v>398</v>
      </c>
      <c r="I121" s="2"/>
      <c r="J121" s="2" t="s">
        <v>23</v>
      </c>
      <c r="K121" s="2"/>
      <c r="L121" s="2"/>
      <c r="M121" s="2"/>
      <c r="N121" s="2"/>
      <c r="O121" s="2"/>
    </row>
    <row r="122" spans="1:15" ht="28.8">
      <c r="A122" s="2" t="s">
        <v>432</v>
      </c>
      <c r="B122" s="2" t="s">
        <v>404</v>
      </c>
      <c r="C122" s="2" t="s">
        <v>405</v>
      </c>
      <c r="D122" s="2" t="s">
        <v>50</v>
      </c>
      <c r="E122" s="2" t="s">
        <v>31</v>
      </c>
      <c r="F122" s="2" t="s">
        <v>20</v>
      </c>
      <c r="G122" s="2" t="s">
        <v>433</v>
      </c>
      <c r="H122" s="2" t="s">
        <v>434</v>
      </c>
      <c r="I122" s="2"/>
      <c r="J122" s="2" t="s">
        <v>23</v>
      </c>
      <c r="K122" s="2"/>
      <c r="L122" s="2"/>
      <c r="M122" s="2"/>
      <c r="N122" s="2"/>
      <c r="O122" s="2"/>
    </row>
    <row r="123" spans="1:15" ht="28.8">
      <c r="A123" s="2" t="s">
        <v>435</v>
      </c>
      <c r="B123" s="2" t="s">
        <v>436</v>
      </c>
      <c r="C123" s="2" t="s">
        <v>437</v>
      </c>
      <c r="D123" s="2" t="s">
        <v>18</v>
      </c>
      <c r="E123" s="2" t="s">
        <v>19</v>
      </c>
      <c r="F123" s="2" t="s">
        <v>438</v>
      </c>
      <c r="G123" s="2" t="s">
        <v>439</v>
      </c>
      <c r="H123" s="2" t="s">
        <v>440</v>
      </c>
      <c r="I123" s="2"/>
      <c r="J123" s="2" t="s">
        <v>23</v>
      </c>
      <c r="K123" s="2"/>
      <c r="L123" s="2"/>
      <c r="M123" s="2"/>
      <c r="N123" s="2"/>
      <c r="O123" s="2"/>
    </row>
    <row r="124" spans="1:15" ht="28.8">
      <c r="A124" s="2" t="s">
        <v>441</v>
      </c>
      <c r="B124" s="2" t="s">
        <v>436</v>
      </c>
      <c r="C124" s="2" t="s">
        <v>437</v>
      </c>
      <c r="D124" s="2" t="s">
        <v>143</v>
      </c>
      <c r="E124" s="2" t="s">
        <v>19</v>
      </c>
      <c r="F124" s="2" t="s">
        <v>374</v>
      </c>
      <c r="G124" s="2" t="s">
        <v>442</v>
      </c>
      <c r="H124" s="2" t="s">
        <v>443</v>
      </c>
      <c r="I124" s="2"/>
      <c r="J124" s="2" t="s">
        <v>23</v>
      </c>
      <c r="K124" s="2"/>
      <c r="L124" s="2"/>
      <c r="M124" s="2"/>
      <c r="N124" s="2"/>
      <c r="O124" s="2"/>
    </row>
    <row r="125" spans="1:15" ht="28.8">
      <c r="A125" s="2" t="s">
        <v>444</v>
      </c>
      <c r="B125" s="2" t="s">
        <v>436</v>
      </c>
      <c r="C125" s="2" t="s">
        <v>437</v>
      </c>
      <c r="D125" s="2" t="s">
        <v>143</v>
      </c>
      <c r="E125" s="2" t="s">
        <v>31</v>
      </c>
      <c r="F125" s="2" t="s">
        <v>374</v>
      </c>
      <c r="G125" s="2" t="s">
        <v>445</v>
      </c>
      <c r="H125" s="2" t="s">
        <v>446</v>
      </c>
      <c r="I125" s="2"/>
      <c r="J125" s="2" t="s">
        <v>23</v>
      </c>
      <c r="K125" s="2"/>
      <c r="L125" s="2"/>
      <c r="M125" s="2"/>
      <c r="N125" s="2"/>
      <c r="O125" s="2"/>
    </row>
    <row r="126" spans="1:15" ht="28.8">
      <c r="A126" s="2" t="s">
        <v>447</v>
      </c>
      <c r="B126" s="2" t="s">
        <v>436</v>
      </c>
      <c r="C126" s="2" t="s">
        <v>437</v>
      </c>
      <c r="D126" s="2" t="s">
        <v>18</v>
      </c>
      <c r="E126" s="2" t="s">
        <v>31</v>
      </c>
      <c r="F126" s="2" t="s">
        <v>374</v>
      </c>
      <c r="G126" s="2" t="s">
        <v>448</v>
      </c>
      <c r="H126" s="2" t="s">
        <v>449</v>
      </c>
      <c r="I126" s="2"/>
      <c r="J126" s="2" t="s">
        <v>23</v>
      </c>
      <c r="K126" s="2"/>
      <c r="L126" s="2"/>
      <c r="M126" s="2"/>
      <c r="N126" s="2"/>
      <c r="O126" s="2"/>
    </row>
    <row r="127" spans="1:15" ht="28.8">
      <c r="A127" s="2" t="s">
        <v>450</v>
      </c>
      <c r="B127" s="2" t="s">
        <v>436</v>
      </c>
      <c r="C127" s="2" t="s">
        <v>437</v>
      </c>
      <c r="D127" s="2" t="s">
        <v>18</v>
      </c>
      <c r="E127" s="2" t="s">
        <v>31</v>
      </c>
      <c r="F127" s="2" t="s">
        <v>41</v>
      </c>
      <c r="G127" s="2" t="s">
        <v>451</v>
      </c>
      <c r="H127" s="2" t="s">
        <v>452</v>
      </c>
      <c r="I127" s="2"/>
      <c r="J127" s="2" t="s">
        <v>23</v>
      </c>
      <c r="K127" s="2"/>
      <c r="L127" s="2"/>
      <c r="M127" s="2"/>
      <c r="N127" s="2"/>
      <c r="O127" s="2"/>
    </row>
    <row r="128" spans="1:15" ht="28.8">
      <c r="A128" s="2" t="s">
        <v>453</v>
      </c>
      <c r="B128" s="2" t="s">
        <v>436</v>
      </c>
      <c r="C128" s="2" t="s">
        <v>437</v>
      </c>
      <c r="D128" s="2" t="s">
        <v>106</v>
      </c>
      <c r="E128" s="2" t="s">
        <v>31</v>
      </c>
      <c r="F128" s="2" t="s">
        <v>20</v>
      </c>
      <c r="G128" s="2" t="s">
        <v>454</v>
      </c>
      <c r="H128" s="2" t="s">
        <v>398</v>
      </c>
      <c r="I128" s="2"/>
      <c r="J128" s="2" t="s">
        <v>23</v>
      </c>
      <c r="K128" s="2"/>
      <c r="L128" s="2"/>
      <c r="M128" s="2"/>
      <c r="N128" s="2"/>
      <c r="O128" s="2"/>
    </row>
    <row r="129" spans="1:15" ht="28.8">
      <c r="A129" s="2" t="s">
        <v>455</v>
      </c>
      <c r="B129" s="2" t="s">
        <v>456</v>
      </c>
      <c r="C129" s="2" t="s">
        <v>457</v>
      </c>
      <c r="D129" s="2" t="s">
        <v>18</v>
      </c>
      <c r="E129" s="2" t="s">
        <v>19</v>
      </c>
      <c r="F129" s="2" t="s">
        <v>20</v>
      </c>
      <c r="G129" s="2" t="s">
        <v>458</v>
      </c>
      <c r="H129" s="2" t="s">
        <v>459</v>
      </c>
      <c r="I129" s="2"/>
      <c r="J129" s="2" t="s">
        <v>23</v>
      </c>
      <c r="K129" s="2"/>
      <c r="L129" s="2"/>
      <c r="M129" s="2"/>
      <c r="N129" s="2"/>
      <c r="O129" s="2"/>
    </row>
    <row r="130" spans="1:15" ht="28.8">
      <c r="A130" s="2" t="s">
        <v>460</v>
      </c>
      <c r="B130" s="2" t="s">
        <v>456</v>
      </c>
      <c r="C130" s="2" t="s">
        <v>457</v>
      </c>
      <c r="D130" s="2" t="s">
        <v>18</v>
      </c>
      <c r="E130" s="2" t="s">
        <v>19</v>
      </c>
      <c r="F130" s="2" t="s">
        <v>461</v>
      </c>
      <c r="G130" s="2" t="s">
        <v>462</v>
      </c>
      <c r="H130" s="2" t="s">
        <v>463</v>
      </c>
      <c r="I130" s="2"/>
      <c r="J130" s="2" t="s">
        <v>23</v>
      </c>
      <c r="K130" s="2"/>
      <c r="L130" s="2"/>
      <c r="M130" s="2"/>
      <c r="N130" s="2"/>
      <c r="O130" s="2"/>
    </row>
    <row r="131" spans="1:15" ht="28.8">
      <c r="A131" s="2" t="s">
        <v>464</v>
      </c>
      <c r="B131" s="2" t="s">
        <v>456</v>
      </c>
      <c r="C131" s="2" t="s">
        <v>457</v>
      </c>
      <c r="D131" s="2" t="s">
        <v>18</v>
      </c>
      <c r="E131" s="2" t="s">
        <v>31</v>
      </c>
      <c r="F131" s="2" t="s">
        <v>374</v>
      </c>
      <c r="G131" s="2" t="s">
        <v>465</v>
      </c>
      <c r="H131" s="2" t="s">
        <v>466</v>
      </c>
      <c r="I131" s="2"/>
      <c r="J131" s="2" t="s">
        <v>23</v>
      </c>
      <c r="K131" s="2"/>
      <c r="L131" s="2"/>
      <c r="M131" s="2"/>
      <c r="N131" s="2"/>
      <c r="O131" s="2"/>
    </row>
    <row r="132" spans="1:15">
      <c r="A132" s="2" t="s">
        <v>467</v>
      </c>
      <c r="B132" s="2" t="s">
        <v>456</v>
      </c>
      <c r="C132" s="2" t="s">
        <v>457</v>
      </c>
      <c r="D132" s="2" t="s">
        <v>18</v>
      </c>
      <c r="E132" s="2" t="s">
        <v>31</v>
      </c>
      <c r="F132" s="2" t="s">
        <v>468</v>
      </c>
      <c r="G132" s="2" t="s">
        <v>469</v>
      </c>
      <c r="H132" s="2" t="s">
        <v>470</v>
      </c>
      <c r="I132" s="2"/>
      <c r="J132" s="2" t="s">
        <v>23</v>
      </c>
      <c r="K132" s="2"/>
      <c r="L132" s="2"/>
      <c r="M132" s="2"/>
      <c r="N132" s="2"/>
      <c r="O132" s="2"/>
    </row>
    <row r="133" spans="1:15" ht="28.8">
      <c r="A133" s="2" t="s">
        <v>471</v>
      </c>
      <c r="B133" s="2" t="s">
        <v>456</v>
      </c>
      <c r="C133" s="2" t="s">
        <v>457</v>
      </c>
      <c r="D133" s="2" t="s">
        <v>18</v>
      </c>
      <c r="E133" s="2" t="s">
        <v>19</v>
      </c>
      <c r="F133" s="2" t="s">
        <v>472</v>
      </c>
      <c r="G133" s="2" t="s">
        <v>473</v>
      </c>
      <c r="H133" s="2" t="s">
        <v>474</v>
      </c>
      <c r="I133" s="2"/>
      <c r="J133" s="2" t="s">
        <v>23</v>
      </c>
      <c r="K133" s="2"/>
      <c r="L133" s="2"/>
      <c r="M133" s="2"/>
      <c r="N133" s="2"/>
      <c r="O133" s="2"/>
    </row>
    <row r="134" spans="1:15">
      <c r="A134" s="2" t="s">
        <v>475</v>
      </c>
      <c r="B134" s="2" t="s">
        <v>456</v>
      </c>
      <c r="C134" s="2" t="s">
        <v>457</v>
      </c>
      <c r="D134" s="2" t="s">
        <v>18</v>
      </c>
      <c r="E134" s="2" t="s">
        <v>31</v>
      </c>
      <c r="F134" s="2" t="s">
        <v>476</v>
      </c>
      <c r="G134" s="2" t="s">
        <v>477</v>
      </c>
      <c r="H134" s="2" t="s">
        <v>478</v>
      </c>
      <c r="I134" s="2"/>
      <c r="J134" s="2" t="s">
        <v>23</v>
      </c>
      <c r="K134" s="2"/>
      <c r="L134" s="2"/>
      <c r="M134" s="2"/>
      <c r="N134" s="2"/>
      <c r="O134" s="2"/>
    </row>
    <row r="135" spans="1:15" ht="28.8">
      <c r="A135" s="2" t="s">
        <v>479</v>
      </c>
      <c r="B135" s="2" t="s">
        <v>456</v>
      </c>
      <c r="C135" s="2" t="s">
        <v>457</v>
      </c>
      <c r="D135" s="2" t="s">
        <v>18</v>
      </c>
      <c r="E135" s="2" t="s">
        <v>19</v>
      </c>
      <c r="F135" s="2" t="s">
        <v>20</v>
      </c>
      <c r="G135" s="2" t="s">
        <v>480</v>
      </c>
      <c r="H135" s="2" t="s">
        <v>481</v>
      </c>
      <c r="I135" s="2"/>
      <c r="J135" s="2" t="s">
        <v>23</v>
      </c>
      <c r="K135" s="2"/>
      <c r="L135" s="2"/>
      <c r="M135" s="2"/>
      <c r="N135" s="2"/>
      <c r="O135" s="2"/>
    </row>
    <row r="136" spans="1:15" ht="28.8">
      <c r="A136" s="2" t="s">
        <v>482</v>
      </c>
      <c r="B136" s="2" t="s">
        <v>456</v>
      </c>
      <c r="C136" s="2" t="s">
        <v>457</v>
      </c>
      <c r="D136" s="2" t="s">
        <v>18</v>
      </c>
      <c r="E136" s="2" t="s">
        <v>31</v>
      </c>
      <c r="F136" s="2" t="s">
        <v>20</v>
      </c>
      <c r="G136" s="2" t="s">
        <v>483</v>
      </c>
      <c r="H136" s="2" t="s">
        <v>484</v>
      </c>
      <c r="I136" s="2"/>
      <c r="J136" s="2" t="s">
        <v>23</v>
      </c>
      <c r="K136" s="2"/>
      <c r="L136" s="2"/>
      <c r="M136" s="2"/>
      <c r="N136" s="2"/>
      <c r="O136" s="2"/>
    </row>
    <row r="137" spans="1:15" ht="28.8">
      <c r="A137" s="2" t="s">
        <v>485</v>
      </c>
      <c r="B137" s="2" t="s">
        <v>456</v>
      </c>
      <c r="C137" s="2" t="s">
        <v>457</v>
      </c>
      <c r="D137" s="2" t="s">
        <v>106</v>
      </c>
      <c r="E137" s="2" t="s">
        <v>31</v>
      </c>
      <c r="F137" s="2" t="s">
        <v>41</v>
      </c>
      <c r="G137" s="2" t="s">
        <v>486</v>
      </c>
      <c r="H137" s="2" t="s">
        <v>487</v>
      </c>
      <c r="I137" s="2"/>
      <c r="J137" s="2" t="s">
        <v>23</v>
      </c>
      <c r="K137" s="2"/>
      <c r="L137" s="2"/>
      <c r="M137" s="2"/>
      <c r="N137" s="2"/>
      <c r="O137" s="2"/>
    </row>
    <row r="138" spans="1:15" ht="57.6">
      <c r="A138" s="2" t="s">
        <v>488</v>
      </c>
      <c r="B138" s="2" t="s">
        <v>489</v>
      </c>
      <c r="C138" s="2" t="s">
        <v>490</v>
      </c>
      <c r="D138" s="2" t="s">
        <v>18</v>
      </c>
      <c r="E138" s="2" t="s">
        <v>19</v>
      </c>
      <c r="F138" s="2" t="s">
        <v>491</v>
      </c>
      <c r="G138" s="2" t="s">
        <v>492</v>
      </c>
      <c r="H138" s="2" t="s">
        <v>493</v>
      </c>
      <c r="I138" s="2"/>
      <c r="J138" s="2" t="s">
        <v>23</v>
      </c>
      <c r="K138" s="2"/>
      <c r="L138" s="2"/>
      <c r="M138" s="2"/>
      <c r="N138" s="2"/>
      <c r="O138" s="2"/>
    </row>
    <row r="139" spans="1:15" ht="43.2">
      <c r="A139" s="2" t="s">
        <v>494</v>
      </c>
      <c r="B139" s="2" t="s">
        <v>489</v>
      </c>
      <c r="C139" s="2" t="s">
        <v>490</v>
      </c>
      <c r="D139" s="2" t="s">
        <v>18</v>
      </c>
      <c r="E139" s="2" t="s">
        <v>19</v>
      </c>
      <c r="F139" s="2" t="s">
        <v>374</v>
      </c>
      <c r="G139" s="2" t="s">
        <v>495</v>
      </c>
      <c r="H139" s="2" t="s">
        <v>496</v>
      </c>
      <c r="I139" s="2"/>
      <c r="J139" s="2" t="s">
        <v>23</v>
      </c>
      <c r="K139" s="2"/>
      <c r="L139" s="2"/>
      <c r="M139" s="2"/>
      <c r="N139" s="2"/>
      <c r="O139" s="2"/>
    </row>
    <row r="140" spans="1:15" ht="43.2">
      <c r="A140" s="2" t="s">
        <v>497</v>
      </c>
      <c r="B140" s="2" t="s">
        <v>489</v>
      </c>
      <c r="C140" s="2" t="s">
        <v>490</v>
      </c>
      <c r="D140" s="2" t="s">
        <v>18</v>
      </c>
      <c r="E140" s="2" t="s">
        <v>19</v>
      </c>
      <c r="F140" s="2" t="s">
        <v>498</v>
      </c>
      <c r="G140" s="2" t="s">
        <v>499</v>
      </c>
      <c r="H140" s="2" t="s">
        <v>500</v>
      </c>
      <c r="I140" s="2"/>
      <c r="J140" s="2" t="s">
        <v>23</v>
      </c>
      <c r="K140" s="2"/>
      <c r="L140" s="2"/>
      <c r="M140" s="2"/>
      <c r="N140" s="2"/>
      <c r="O140" s="2"/>
    </row>
    <row r="141" spans="1:15" ht="28.8">
      <c r="A141" s="2" t="s">
        <v>501</v>
      </c>
      <c r="B141" s="2" t="s">
        <v>489</v>
      </c>
      <c r="C141" s="2" t="s">
        <v>490</v>
      </c>
      <c r="D141" s="2" t="s">
        <v>18</v>
      </c>
      <c r="E141" s="2" t="s">
        <v>31</v>
      </c>
      <c r="F141" s="2" t="s">
        <v>502</v>
      </c>
      <c r="G141" s="2" t="s">
        <v>503</v>
      </c>
      <c r="H141" s="2" t="s">
        <v>504</v>
      </c>
      <c r="I141" s="2"/>
      <c r="J141" s="2" t="s">
        <v>23</v>
      </c>
      <c r="K141" s="2"/>
      <c r="L141" s="2"/>
      <c r="M141" s="2"/>
      <c r="N141" s="2"/>
      <c r="O141" s="2"/>
    </row>
    <row r="142" spans="1:15" ht="28.8">
      <c r="A142" s="2" t="s">
        <v>505</v>
      </c>
      <c r="B142" s="2" t="s">
        <v>489</v>
      </c>
      <c r="C142" s="2" t="s">
        <v>490</v>
      </c>
      <c r="D142" s="2" t="s">
        <v>18</v>
      </c>
      <c r="E142" s="2" t="s">
        <v>31</v>
      </c>
      <c r="F142" s="2" t="s">
        <v>506</v>
      </c>
      <c r="G142" s="2" t="s">
        <v>507</v>
      </c>
      <c r="H142" s="2" t="s">
        <v>508</v>
      </c>
      <c r="I142" s="2"/>
      <c r="J142" s="2" t="s">
        <v>23</v>
      </c>
      <c r="K142" s="2"/>
      <c r="L142" s="2"/>
      <c r="M142" s="2"/>
      <c r="N142" s="2"/>
      <c r="O142" s="2"/>
    </row>
    <row r="143" spans="1:15">
      <c r="A143" s="2" t="s">
        <v>509</v>
      </c>
      <c r="B143" s="2" t="s">
        <v>489</v>
      </c>
      <c r="C143" s="2" t="s">
        <v>490</v>
      </c>
      <c r="D143" s="2" t="s">
        <v>18</v>
      </c>
      <c r="E143" s="2" t="s">
        <v>31</v>
      </c>
      <c r="F143" s="2" t="s">
        <v>510</v>
      </c>
      <c r="G143" s="2" t="s">
        <v>507</v>
      </c>
      <c r="H143" s="2" t="s">
        <v>511</v>
      </c>
      <c r="I143" s="2"/>
      <c r="J143" s="2" t="s">
        <v>23</v>
      </c>
      <c r="K143" s="2"/>
      <c r="L143" s="2"/>
      <c r="M143" s="2"/>
      <c r="N143" s="2"/>
      <c r="O143" s="2"/>
    </row>
    <row r="144" spans="1:15">
      <c r="A144" s="2" t="s">
        <v>512</v>
      </c>
      <c r="B144" s="2" t="s">
        <v>489</v>
      </c>
      <c r="C144" s="2" t="s">
        <v>490</v>
      </c>
      <c r="D144" s="2" t="s">
        <v>18</v>
      </c>
      <c r="E144" s="2" t="s">
        <v>31</v>
      </c>
      <c r="F144" s="2" t="s">
        <v>513</v>
      </c>
      <c r="G144" s="2" t="s">
        <v>507</v>
      </c>
      <c r="H144" s="2" t="s">
        <v>514</v>
      </c>
      <c r="I144" s="2"/>
      <c r="J144" s="2" t="s">
        <v>23</v>
      </c>
      <c r="K144" s="2"/>
      <c r="L144" s="2"/>
      <c r="M144" s="2"/>
      <c r="N144" s="2"/>
      <c r="O144" s="2"/>
    </row>
    <row r="145" spans="1:15" ht="28.8">
      <c r="A145" s="2" t="s">
        <v>515</v>
      </c>
      <c r="B145" s="2" t="s">
        <v>489</v>
      </c>
      <c r="C145" s="2" t="s">
        <v>490</v>
      </c>
      <c r="D145" s="2" t="s">
        <v>18</v>
      </c>
      <c r="E145" s="2" t="s">
        <v>31</v>
      </c>
      <c r="F145" s="2" t="s">
        <v>516</v>
      </c>
      <c r="G145" s="2" t="s">
        <v>517</v>
      </c>
      <c r="H145" s="2" t="s">
        <v>518</v>
      </c>
      <c r="I145" s="2"/>
      <c r="J145" s="2" t="s">
        <v>23</v>
      </c>
      <c r="K145" s="2"/>
      <c r="L145" s="2"/>
      <c r="M145" s="2"/>
      <c r="N145" s="2"/>
      <c r="O145" s="2"/>
    </row>
    <row r="146" spans="1:15" ht="28.8">
      <c r="A146" s="2" t="s">
        <v>519</v>
      </c>
      <c r="B146" s="2" t="s">
        <v>489</v>
      </c>
      <c r="C146" s="2" t="s">
        <v>490</v>
      </c>
      <c r="D146" s="2" t="s">
        <v>18</v>
      </c>
      <c r="E146" s="2" t="s">
        <v>31</v>
      </c>
      <c r="F146" s="2" t="s">
        <v>520</v>
      </c>
      <c r="G146" s="2" t="s">
        <v>521</v>
      </c>
      <c r="H146" s="2" t="s">
        <v>522</v>
      </c>
      <c r="I146" s="2"/>
      <c r="J146" s="2" t="s">
        <v>23</v>
      </c>
      <c r="K146" s="2"/>
      <c r="L146" s="2"/>
      <c r="M146" s="2"/>
      <c r="N146" s="2"/>
      <c r="O146" s="2"/>
    </row>
    <row r="147" spans="1:15" ht="28.8">
      <c r="A147" s="2" t="s">
        <v>523</v>
      </c>
      <c r="B147" s="2" t="s">
        <v>489</v>
      </c>
      <c r="C147" s="2" t="s">
        <v>490</v>
      </c>
      <c r="D147" s="2" t="s">
        <v>18</v>
      </c>
      <c r="E147" s="2" t="s">
        <v>31</v>
      </c>
      <c r="F147" s="2" t="s">
        <v>524</v>
      </c>
      <c r="G147" s="2" t="s">
        <v>507</v>
      </c>
      <c r="H147" s="2" t="s">
        <v>525</v>
      </c>
      <c r="I147" s="2"/>
      <c r="J147" s="2" t="s">
        <v>23</v>
      </c>
      <c r="K147" s="2"/>
      <c r="L147" s="2"/>
      <c r="M147" s="2"/>
      <c r="N147" s="2"/>
      <c r="O147" s="2"/>
    </row>
    <row r="148" spans="1:15" ht="28.8">
      <c r="A148" s="2" t="s">
        <v>526</v>
      </c>
      <c r="B148" s="2" t="s">
        <v>489</v>
      </c>
      <c r="C148" s="2" t="s">
        <v>490</v>
      </c>
      <c r="D148" s="2" t="s">
        <v>18</v>
      </c>
      <c r="E148" s="2" t="s">
        <v>19</v>
      </c>
      <c r="F148" s="2" t="s">
        <v>374</v>
      </c>
      <c r="G148" s="2" t="s">
        <v>527</v>
      </c>
      <c r="H148" s="2" t="s">
        <v>528</v>
      </c>
      <c r="I148" s="2"/>
      <c r="J148" s="2" t="s">
        <v>23</v>
      </c>
      <c r="K148" s="2"/>
      <c r="L148" s="2"/>
      <c r="M148" s="2"/>
      <c r="N148" s="2"/>
      <c r="O148" s="2"/>
    </row>
    <row r="149" spans="1:15" ht="28.8">
      <c r="A149" s="2" t="s">
        <v>529</v>
      </c>
      <c r="B149" s="2" t="s">
        <v>489</v>
      </c>
      <c r="C149" s="2" t="s">
        <v>490</v>
      </c>
      <c r="D149" s="2" t="s">
        <v>18</v>
      </c>
      <c r="E149" s="2" t="s">
        <v>31</v>
      </c>
      <c r="F149" s="2" t="s">
        <v>530</v>
      </c>
      <c r="G149" s="2" t="s">
        <v>531</v>
      </c>
      <c r="H149" s="2" t="s">
        <v>532</v>
      </c>
      <c r="I149" s="2"/>
      <c r="J149" s="2" t="s">
        <v>23</v>
      </c>
      <c r="K149" s="2"/>
      <c r="L149" s="2"/>
      <c r="M149" s="2"/>
      <c r="N149" s="2"/>
      <c r="O149" s="2"/>
    </row>
    <row r="150" spans="1:15">
      <c r="A150" s="2" t="s">
        <v>533</v>
      </c>
      <c r="B150" s="2" t="s">
        <v>489</v>
      </c>
      <c r="C150" s="2" t="s">
        <v>490</v>
      </c>
      <c r="D150" s="2" t="s">
        <v>18</v>
      </c>
      <c r="E150" s="2" t="s">
        <v>46</v>
      </c>
      <c r="F150" s="2" t="s">
        <v>534</v>
      </c>
      <c r="G150" s="2" t="s">
        <v>228</v>
      </c>
      <c r="H150" s="2" t="s">
        <v>535</v>
      </c>
      <c r="I150" s="2"/>
      <c r="J150" s="2" t="s">
        <v>23</v>
      </c>
      <c r="K150" s="2"/>
      <c r="L150" s="2"/>
      <c r="M150" s="2"/>
      <c r="N150" s="2"/>
      <c r="O150" s="2"/>
    </row>
    <row r="151" spans="1:15" ht="28.8">
      <c r="A151" s="2" t="s">
        <v>536</v>
      </c>
      <c r="B151" s="2" t="s">
        <v>489</v>
      </c>
      <c r="C151" s="2" t="s">
        <v>490</v>
      </c>
      <c r="D151" s="2" t="s">
        <v>18</v>
      </c>
      <c r="E151" s="2" t="s">
        <v>31</v>
      </c>
      <c r="F151" s="2" t="s">
        <v>537</v>
      </c>
      <c r="G151" s="2" t="s">
        <v>538</v>
      </c>
      <c r="H151" s="2" t="s">
        <v>539</v>
      </c>
      <c r="I151" s="2"/>
      <c r="J151" s="2" t="s">
        <v>23</v>
      </c>
      <c r="K151" s="2"/>
      <c r="L151" s="2"/>
      <c r="M151" s="2"/>
      <c r="N151" s="2"/>
      <c r="O151" s="2"/>
    </row>
    <row r="152" spans="1:15" ht="28.8">
      <c r="A152" s="2" t="s">
        <v>540</v>
      </c>
      <c r="B152" s="2" t="s">
        <v>489</v>
      </c>
      <c r="C152" s="2" t="s">
        <v>490</v>
      </c>
      <c r="D152" s="2" t="s">
        <v>18</v>
      </c>
      <c r="E152" s="2" t="s">
        <v>19</v>
      </c>
      <c r="F152" s="2" t="s">
        <v>541</v>
      </c>
      <c r="G152" s="2" t="s">
        <v>542</v>
      </c>
      <c r="H152" s="2" t="s">
        <v>543</v>
      </c>
      <c r="I152" s="2"/>
      <c r="J152" s="2" t="s">
        <v>23</v>
      </c>
      <c r="K152" s="2"/>
      <c r="L152" s="2"/>
      <c r="M152" s="2"/>
      <c r="N152" s="2"/>
      <c r="O152" s="2"/>
    </row>
    <row r="153" spans="1:15" ht="28.8">
      <c r="A153" s="2" t="s">
        <v>544</v>
      </c>
      <c r="B153" s="2" t="s">
        <v>489</v>
      </c>
      <c r="C153" s="2" t="s">
        <v>490</v>
      </c>
      <c r="D153" s="2" t="s">
        <v>18</v>
      </c>
      <c r="E153" s="2" t="s">
        <v>19</v>
      </c>
      <c r="F153" s="2" t="s">
        <v>20</v>
      </c>
      <c r="G153" s="2" t="s">
        <v>545</v>
      </c>
      <c r="H153" s="2" t="s">
        <v>546</v>
      </c>
      <c r="I153" s="2"/>
      <c r="J153" s="2" t="s">
        <v>23</v>
      </c>
      <c r="K153" s="2"/>
      <c r="L153" s="2"/>
      <c r="M153" s="2"/>
      <c r="N153" s="2"/>
      <c r="O153" s="2"/>
    </row>
    <row r="154" spans="1:15" ht="28.8">
      <c r="A154" s="2" t="s">
        <v>547</v>
      </c>
      <c r="B154" s="2" t="s">
        <v>489</v>
      </c>
      <c r="C154" s="2" t="s">
        <v>490</v>
      </c>
      <c r="D154" s="2" t="s">
        <v>67</v>
      </c>
      <c r="E154" s="2" t="s">
        <v>31</v>
      </c>
      <c r="F154" s="2" t="s">
        <v>548</v>
      </c>
      <c r="G154" s="2" t="s">
        <v>549</v>
      </c>
      <c r="H154" s="2" t="s">
        <v>550</v>
      </c>
      <c r="I154" s="2"/>
      <c r="J154" s="2" t="s">
        <v>23</v>
      </c>
      <c r="K154" s="2"/>
      <c r="L154" s="2"/>
      <c r="M154" s="2"/>
      <c r="N154" s="2"/>
      <c r="O154" s="2"/>
    </row>
    <row r="155" spans="1:15" ht="28.8">
      <c r="A155" s="2" t="s">
        <v>551</v>
      </c>
      <c r="B155" s="2" t="s">
        <v>489</v>
      </c>
      <c r="C155" s="2" t="s">
        <v>490</v>
      </c>
      <c r="D155" s="2" t="s">
        <v>18</v>
      </c>
      <c r="E155" s="2" t="s">
        <v>31</v>
      </c>
      <c r="F155" s="2" t="s">
        <v>552</v>
      </c>
      <c r="G155" s="2" t="s">
        <v>553</v>
      </c>
      <c r="H155" s="2" t="s">
        <v>554</v>
      </c>
      <c r="I155" s="2"/>
      <c r="J155" s="2" t="s">
        <v>23</v>
      </c>
      <c r="K155" s="2"/>
      <c r="L155" s="2"/>
      <c r="M155" s="2"/>
      <c r="N155" s="2"/>
      <c r="O155" s="2"/>
    </row>
    <row r="156" spans="1:15" ht="28.8">
      <c r="A156" s="2" t="s">
        <v>555</v>
      </c>
      <c r="B156" s="2" t="s">
        <v>489</v>
      </c>
      <c r="C156" s="2" t="s">
        <v>490</v>
      </c>
      <c r="D156" s="2" t="s">
        <v>106</v>
      </c>
      <c r="E156" s="2" t="s">
        <v>19</v>
      </c>
      <c r="F156" s="2" t="s">
        <v>20</v>
      </c>
      <c r="G156" s="2" t="s">
        <v>556</v>
      </c>
      <c r="H156" s="2" t="s">
        <v>557</v>
      </c>
      <c r="I156" s="2"/>
      <c r="J156" s="2" t="s">
        <v>23</v>
      </c>
      <c r="K156" s="2"/>
      <c r="L156" s="2"/>
      <c r="M156" s="2"/>
      <c r="N156" s="2"/>
      <c r="O156" s="2"/>
    </row>
    <row r="157" spans="1:15" ht="28.8">
      <c r="A157" s="2" t="s">
        <v>558</v>
      </c>
      <c r="B157" s="2" t="s">
        <v>489</v>
      </c>
      <c r="C157" s="2" t="s">
        <v>490</v>
      </c>
      <c r="D157" s="2" t="s">
        <v>106</v>
      </c>
      <c r="E157" s="2" t="s">
        <v>31</v>
      </c>
      <c r="F157" s="2" t="s">
        <v>20</v>
      </c>
      <c r="G157" s="2" t="s">
        <v>559</v>
      </c>
      <c r="H157" s="2" t="s">
        <v>560</v>
      </c>
      <c r="I157" s="2"/>
      <c r="J157" s="2" t="s">
        <v>23</v>
      </c>
      <c r="K157" s="2"/>
      <c r="L157" s="2"/>
      <c r="M157" s="2"/>
      <c r="N157" s="2"/>
      <c r="O157" s="2"/>
    </row>
    <row r="158" spans="1:15" ht="28.8">
      <c r="A158" s="2" t="s">
        <v>561</v>
      </c>
      <c r="B158" s="2" t="s">
        <v>489</v>
      </c>
      <c r="C158" s="2" t="s">
        <v>490</v>
      </c>
      <c r="D158" s="2" t="s">
        <v>106</v>
      </c>
      <c r="E158" s="2" t="s">
        <v>31</v>
      </c>
      <c r="F158" s="2" t="s">
        <v>20</v>
      </c>
      <c r="G158" s="2" t="s">
        <v>562</v>
      </c>
      <c r="H158" s="2" t="s">
        <v>563</v>
      </c>
      <c r="I158" s="2"/>
      <c r="J158" s="2" t="s">
        <v>23</v>
      </c>
      <c r="K158" s="2"/>
      <c r="L158" s="2"/>
      <c r="M158" s="2"/>
      <c r="N158" s="2"/>
      <c r="O158" s="2"/>
    </row>
    <row r="159" spans="1:15" ht="28.8">
      <c r="A159" s="2" t="s">
        <v>564</v>
      </c>
      <c r="B159" s="2" t="s">
        <v>489</v>
      </c>
      <c r="C159" s="2" t="s">
        <v>490</v>
      </c>
      <c r="D159" s="2" t="s">
        <v>50</v>
      </c>
      <c r="E159" s="2" t="s">
        <v>19</v>
      </c>
      <c r="F159" s="2" t="s">
        <v>20</v>
      </c>
      <c r="G159" s="2" t="s">
        <v>565</v>
      </c>
      <c r="H159" s="2" t="s">
        <v>566</v>
      </c>
      <c r="I159" s="2"/>
      <c r="J159" s="2" t="s">
        <v>23</v>
      </c>
      <c r="K159" s="2"/>
      <c r="L159" s="2"/>
      <c r="M159" s="2"/>
      <c r="N159" s="2"/>
      <c r="O159" s="2"/>
    </row>
    <row r="160" spans="1:15">
      <c r="A160" s="2" t="s">
        <v>567</v>
      </c>
      <c r="B160" s="2" t="s">
        <v>489</v>
      </c>
      <c r="C160" s="2" t="s">
        <v>490</v>
      </c>
      <c r="D160" s="2" t="s">
        <v>45</v>
      </c>
      <c r="E160" s="2" t="s">
        <v>46</v>
      </c>
      <c r="F160" s="2" t="s">
        <v>20</v>
      </c>
      <c r="G160" s="2" t="s">
        <v>568</v>
      </c>
      <c r="H160" s="2" t="s">
        <v>569</v>
      </c>
      <c r="I160" s="2"/>
      <c r="J160" s="2" t="s">
        <v>23</v>
      </c>
      <c r="K160" s="2"/>
      <c r="L160" s="2"/>
      <c r="M160" s="2"/>
      <c r="N160" s="2"/>
      <c r="O160" s="2"/>
    </row>
    <row r="161" spans="1:15" ht="28.8">
      <c r="A161" s="2" t="s">
        <v>570</v>
      </c>
      <c r="B161" s="2" t="s">
        <v>489</v>
      </c>
      <c r="C161" s="2" t="s">
        <v>490</v>
      </c>
      <c r="D161" s="2" t="s">
        <v>18</v>
      </c>
      <c r="E161" s="2" t="s">
        <v>31</v>
      </c>
      <c r="F161" s="2" t="s">
        <v>41</v>
      </c>
      <c r="G161" s="2" t="s">
        <v>571</v>
      </c>
      <c r="H161" s="2" t="s">
        <v>572</v>
      </c>
      <c r="I161" s="2"/>
      <c r="J161" s="2" t="s">
        <v>23</v>
      </c>
      <c r="K161" s="2"/>
      <c r="L161" s="2"/>
      <c r="M161" s="2"/>
      <c r="N161" s="2"/>
      <c r="O161" s="2"/>
    </row>
    <row r="162" spans="1:15" ht="28.8">
      <c r="A162" s="2" t="s">
        <v>573</v>
      </c>
      <c r="B162" s="2" t="s">
        <v>574</v>
      </c>
      <c r="C162" s="2" t="s">
        <v>575</v>
      </c>
      <c r="D162" s="2" t="s">
        <v>18</v>
      </c>
      <c r="E162" s="2" t="s">
        <v>19</v>
      </c>
      <c r="F162" s="2" t="s">
        <v>20</v>
      </c>
      <c r="G162" s="2" t="s">
        <v>576</v>
      </c>
      <c r="H162" s="2" t="s">
        <v>577</v>
      </c>
      <c r="I162" s="2"/>
      <c r="J162" s="2" t="s">
        <v>23</v>
      </c>
      <c r="K162" s="2"/>
      <c r="L162" s="2"/>
      <c r="M162" s="2"/>
      <c r="N162" s="2"/>
      <c r="O162" s="2"/>
    </row>
    <row r="163" spans="1:15" ht="28.8">
      <c r="A163" s="2" t="s">
        <v>578</v>
      </c>
      <c r="B163" s="2" t="s">
        <v>574</v>
      </c>
      <c r="C163" s="2" t="s">
        <v>575</v>
      </c>
      <c r="D163" s="2" t="s">
        <v>18</v>
      </c>
      <c r="E163" s="2" t="s">
        <v>19</v>
      </c>
      <c r="F163" s="2" t="s">
        <v>20</v>
      </c>
      <c r="G163" s="2" t="s">
        <v>579</v>
      </c>
      <c r="H163" s="2" t="s">
        <v>580</v>
      </c>
      <c r="I163" s="2"/>
      <c r="J163" s="2" t="s">
        <v>23</v>
      </c>
      <c r="K163" s="2"/>
      <c r="L163" s="2"/>
      <c r="M163" s="2"/>
      <c r="N163" s="2"/>
      <c r="O163" s="2"/>
    </row>
    <row r="164" spans="1:15" ht="28.8">
      <c r="A164" s="2" t="s">
        <v>581</v>
      </c>
      <c r="B164" s="2" t="s">
        <v>574</v>
      </c>
      <c r="C164" s="2" t="s">
        <v>575</v>
      </c>
      <c r="D164" s="2" t="s">
        <v>18</v>
      </c>
      <c r="E164" s="2" t="s">
        <v>31</v>
      </c>
      <c r="F164" s="2" t="s">
        <v>20</v>
      </c>
      <c r="G164" s="2" t="s">
        <v>582</v>
      </c>
      <c r="H164" s="2" t="s">
        <v>583</v>
      </c>
      <c r="I164" s="2"/>
      <c r="J164" s="2" t="s">
        <v>23</v>
      </c>
      <c r="K164" s="2"/>
      <c r="L164" s="2"/>
      <c r="M164" s="2"/>
      <c r="N164" s="2"/>
      <c r="O164" s="2"/>
    </row>
    <row r="165" spans="1:15" ht="28.8">
      <c r="A165" s="2" t="s">
        <v>584</v>
      </c>
      <c r="B165" s="2" t="s">
        <v>574</v>
      </c>
      <c r="C165" s="2" t="s">
        <v>575</v>
      </c>
      <c r="D165" s="2" t="s">
        <v>18</v>
      </c>
      <c r="E165" s="2" t="s">
        <v>31</v>
      </c>
      <c r="F165" s="2" t="s">
        <v>20</v>
      </c>
      <c r="G165" s="2" t="s">
        <v>585</v>
      </c>
      <c r="H165" s="2" t="s">
        <v>586</v>
      </c>
      <c r="I165" s="2"/>
      <c r="J165" s="2" t="s">
        <v>23</v>
      </c>
      <c r="K165" s="2"/>
      <c r="L165" s="2"/>
      <c r="M165" s="2"/>
      <c r="N165" s="2"/>
      <c r="O165" s="2"/>
    </row>
    <row r="166" spans="1:15">
      <c r="A166" s="2" t="s">
        <v>587</v>
      </c>
      <c r="B166" s="2" t="s">
        <v>574</v>
      </c>
      <c r="C166" s="2" t="s">
        <v>575</v>
      </c>
      <c r="D166" s="2" t="s">
        <v>18</v>
      </c>
      <c r="E166" s="2" t="s">
        <v>31</v>
      </c>
      <c r="F166" s="2" t="s">
        <v>20</v>
      </c>
      <c r="G166" s="2" t="s">
        <v>588</v>
      </c>
      <c r="H166" s="2" t="s">
        <v>589</v>
      </c>
      <c r="I166" s="2"/>
      <c r="J166" s="2" t="s">
        <v>23</v>
      </c>
      <c r="K166" s="2"/>
      <c r="L166" s="2"/>
      <c r="M166" s="2"/>
      <c r="N166" s="2"/>
      <c r="O166" s="2"/>
    </row>
    <row r="167" spans="1:15" ht="28.8">
      <c r="A167" s="2" t="s">
        <v>590</v>
      </c>
      <c r="B167" s="2" t="s">
        <v>574</v>
      </c>
      <c r="C167" s="2" t="s">
        <v>575</v>
      </c>
      <c r="D167" s="2" t="s">
        <v>18</v>
      </c>
      <c r="E167" s="2" t="s">
        <v>31</v>
      </c>
      <c r="F167" s="2" t="s">
        <v>20</v>
      </c>
      <c r="G167" s="2" t="s">
        <v>591</v>
      </c>
      <c r="H167" s="2" t="s">
        <v>592</v>
      </c>
      <c r="I167" s="2"/>
      <c r="J167" s="2" t="s">
        <v>23</v>
      </c>
      <c r="K167" s="2"/>
      <c r="L167" s="2"/>
      <c r="M167" s="2"/>
      <c r="N167" s="2"/>
      <c r="O167" s="2"/>
    </row>
    <row r="168" spans="1:15">
      <c r="A168" s="2" t="s">
        <v>593</v>
      </c>
      <c r="B168" s="2" t="s">
        <v>574</v>
      </c>
      <c r="C168" s="2" t="s">
        <v>575</v>
      </c>
      <c r="D168" s="2" t="s">
        <v>67</v>
      </c>
      <c r="E168" s="2" t="s">
        <v>46</v>
      </c>
      <c r="F168" s="2" t="s">
        <v>20</v>
      </c>
      <c r="G168" s="2" t="s">
        <v>594</v>
      </c>
      <c r="H168" s="2" t="s">
        <v>595</v>
      </c>
      <c r="I168" s="2"/>
      <c r="J168" s="2" t="s">
        <v>23</v>
      </c>
      <c r="K168" s="2"/>
      <c r="L168" s="2"/>
      <c r="M168" s="2"/>
      <c r="N168" s="2"/>
      <c r="O168" s="2"/>
    </row>
    <row r="169" spans="1:15" ht="43.2">
      <c r="A169" s="2" t="s">
        <v>596</v>
      </c>
      <c r="B169" s="2" t="s">
        <v>574</v>
      </c>
      <c r="C169" s="2" t="s">
        <v>575</v>
      </c>
      <c r="D169" s="2" t="s">
        <v>50</v>
      </c>
      <c r="E169" s="2" t="s">
        <v>31</v>
      </c>
      <c r="F169" s="2" t="s">
        <v>20</v>
      </c>
      <c r="G169" s="2" t="s">
        <v>597</v>
      </c>
      <c r="H169" s="2" t="s">
        <v>598</v>
      </c>
      <c r="I169" s="2"/>
      <c r="J169" s="2" t="s">
        <v>23</v>
      </c>
      <c r="K169" s="2"/>
      <c r="L169" s="2"/>
      <c r="M169" s="2"/>
      <c r="N169" s="2"/>
      <c r="O169" s="2"/>
    </row>
    <row r="170" spans="1:15">
      <c r="A170" s="2" t="s">
        <v>599</v>
      </c>
      <c r="B170" s="2" t="s">
        <v>574</v>
      </c>
      <c r="C170" s="2" t="s">
        <v>575</v>
      </c>
      <c r="D170" s="2" t="s">
        <v>61</v>
      </c>
      <c r="E170" s="2" t="s">
        <v>46</v>
      </c>
      <c r="F170" s="2" t="s">
        <v>20</v>
      </c>
      <c r="G170" s="2" t="s">
        <v>600</v>
      </c>
      <c r="H170" s="2" t="s">
        <v>601</v>
      </c>
      <c r="I170" s="2"/>
      <c r="J170" s="2" t="s">
        <v>23</v>
      </c>
      <c r="K170" s="2"/>
      <c r="L170" s="2"/>
      <c r="M170" s="2"/>
      <c r="N170" s="2"/>
      <c r="O170" s="2"/>
    </row>
    <row r="171" spans="1:15" ht="28.8">
      <c r="A171" s="2" t="s">
        <v>602</v>
      </c>
      <c r="B171" s="2" t="s">
        <v>603</v>
      </c>
      <c r="C171" s="2" t="s">
        <v>604</v>
      </c>
      <c r="D171" s="2" t="s">
        <v>18</v>
      </c>
      <c r="E171" s="2" t="s">
        <v>19</v>
      </c>
      <c r="F171" s="2" t="s">
        <v>20</v>
      </c>
      <c r="G171" s="2" t="s">
        <v>605</v>
      </c>
      <c r="H171" s="2" t="s">
        <v>606</v>
      </c>
      <c r="I171" s="2"/>
      <c r="J171" s="2" t="s">
        <v>23</v>
      </c>
      <c r="K171" s="2"/>
      <c r="L171" s="2"/>
      <c r="M171" s="2"/>
      <c r="N171" s="2"/>
      <c r="O171" s="2"/>
    </row>
    <row r="172" spans="1:15" ht="144">
      <c r="A172" s="2" t="s">
        <v>607</v>
      </c>
      <c r="B172" s="2" t="s">
        <v>603</v>
      </c>
      <c r="C172" s="2" t="s">
        <v>604</v>
      </c>
      <c r="D172" s="2" t="s">
        <v>18</v>
      </c>
      <c r="E172" s="2" t="s">
        <v>19</v>
      </c>
      <c r="F172" s="2" t="s">
        <v>20</v>
      </c>
      <c r="G172" s="2" t="s">
        <v>608</v>
      </c>
      <c r="H172" s="2" t="s">
        <v>609</v>
      </c>
      <c r="I172" s="2"/>
      <c r="J172" s="2" t="s">
        <v>23</v>
      </c>
      <c r="K172" s="2"/>
      <c r="L172" s="2"/>
      <c r="M172" s="2"/>
      <c r="N172" s="2"/>
      <c r="O172" s="2"/>
    </row>
    <row r="173" spans="1:15" ht="28.8">
      <c r="A173" s="2" t="s">
        <v>610</v>
      </c>
      <c r="B173" s="2" t="s">
        <v>603</v>
      </c>
      <c r="C173" s="2" t="s">
        <v>604</v>
      </c>
      <c r="D173" s="2" t="s">
        <v>18</v>
      </c>
      <c r="E173" s="2" t="s">
        <v>31</v>
      </c>
      <c r="F173" s="2" t="s">
        <v>20</v>
      </c>
      <c r="G173" s="2" t="s">
        <v>611</v>
      </c>
      <c r="H173" s="2" t="s">
        <v>612</v>
      </c>
      <c r="I173" s="2"/>
      <c r="J173" s="2" t="s">
        <v>23</v>
      </c>
      <c r="K173" s="2"/>
      <c r="L173" s="2"/>
      <c r="M173" s="2"/>
      <c r="N173" s="2"/>
      <c r="O173" s="2"/>
    </row>
    <row r="174" spans="1:15" ht="28.8">
      <c r="A174" s="2" t="s">
        <v>613</v>
      </c>
      <c r="B174" s="2" t="s">
        <v>603</v>
      </c>
      <c r="C174" s="2" t="s">
        <v>604</v>
      </c>
      <c r="D174" s="2" t="s">
        <v>18</v>
      </c>
      <c r="E174" s="2" t="s">
        <v>31</v>
      </c>
      <c r="F174" s="2" t="s">
        <v>20</v>
      </c>
      <c r="G174" s="2" t="s">
        <v>614</v>
      </c>
      <c r="H174" s="2" t="s">
        <v>615</v>
      </c>
      <c r="I174" s="2"/>
      <c r="J174" s="2" t="s">
        <v>23</v>
      </c>
      <c r="K174" s="2"/>
      <c r="L174" s="2"/>
      <c r="M174" s="2"/>
      <c r="N174" s="2"/>
      <c r="O174" s="2"/>
    </row>
    <row r="175" spans="1:15" ht="28.8">
      <c r="A175" s="2" t="s">
        <v>616</v>
      </c>
      <c r="B175" s="2" t="s">
        <v>603</v>
      </c>
      <c r="C175" s="2" t="s">
        <v>604</v>
      </c>
      <c r="D175" s="2" t="s">
        <v>45</v>
      </c>
      <c r="E175" s="2" t="s">
        <v>46</v>
      </c>
      <c r="F175" s="2" t="s">
        <v>20</v>
      </c>
      <c r="G175" s="2" t="s">
        <v>617</v>
      </c>
      <c r="H175" s="2" t="s">
        <v>618</v>
      </c>
      <c r="I175" s="2"/>
      <c r="J175" s="2" t="s">
        <v>23</v>
      </c>
      <c r="K175" s="2"/>
      <c r="L175" s="2"/>
      <c r="M175" s="2"/>
      <c r="N175" s="2"/>
      <c r="O175" s="2"/>
    </row>
    <row r="176" spans="1:15">
      <c r="A176" s="2" t="s">
        <v>619</v>
      </c>
      <c r="B176" s="2" t="s">
        <v>603</v>
      </c>
      <c r="C176" s="2" t="s">
        <v>604</v>
      </c>
      <c r="D176" s="2" t="s">
        <v>67</v>
      </c>
      <c r="E176" s="2" t="s">
        <v>31</v>
      </c>
      <c r="F176" s="2" t="s">
        <v>20</v>
      </c>
      <c r="G176" s="2" t="s">
        <v>620</v>
      </c>
      <c r="H176" s="2" t="s">
        <v>621</v>
      </c>
      <c r="I176" s="2"/>
      <c r="J176" s="2" t="s">
        <v>23</v>
      </c>
      <c r="K176" s="2"/>
      <c r="L176" s="2"/>
      <c r="M176" s="2"/>
      <c r="N176" s="2"/>
      <c r="O176" s="2"/>
    </row>
    <row r="177" spans="1:15">
      <c r="A177" s="2" t="s">
        <v>622</v>
      </c>
      <c r="B177" s="2" t="s">
        <v>603</v>
      </c>
      <c r="C177" s="2" t="s">
        <v>604</v>
      </c>
      <c r="D177" s="2" t="s">
        <v>50</v>
      </c>
      <c r="E177" s="2" t="s">
        <v>31</v>
      </c>
      <c r="F177" s="2" t="s">
        <v>20</v>
      </c>
      <c r="G177" s="2" t="s">
        <v>623</v>
      </c>
      <c r="H177" s="2" t="s">
        <v>624</v>
      </c>
      <c r="I177" s="2"/>
      <c r="J177" s="2" t="s">
        <v>23</v>
      </c>
      <c r="K177" s="2"/>
      <c r="L177" s="2"/>
      <c r="M177" s="2"/>
      <c r="N177" s="2"/>
      <c r="O177" s="2"/>
    </row>
    <row r="178" spans="1:15" ht="28.8">
      <c r="A178" s="2" t="s">
        <v>625</v>
      </c>
      <c r="B178" s="2" t="s">
        <v>603</v>
      </c>
      <c r="C178" s="2" t="s">
        <v>604</v>
      </c>
      <c r="D178" s="2" t="s">
        <v>61</v>
      </c>
      <c r="E178" s="2" t="s">
        <v>46</v>
      </c>
      <c r="F178" s="2" t="s">
        <v>20</v>
      </c>
      <c r="G178" s="2" t="s">
        <v>626</v>
      </c>
      <c r="H178" s="2" t="s">
        <v>627</v>
      </c>
      <c r="I178" s="2"/>
      <c r="J178" s="2" t="s">
        <v>23</v>
      </c>
      <c r="K178" s="2"/>
      <c r="L178" s="2"/>
      <c r="M178" s="2"/>
      <c r="N178" s="2"/>
      <c r="O178" s="2"/>
    </row>
    <row r="179" spans="1:15">
      <c r="A179" s="2" t="s">
        <v>628</v>
      </c>
      <c r="B179" s="2" t="s">
        <v>629</v>
      </c>
      <c r="C179" s="2" t="s">
        <v>630</v>
      </c>
      <c r="D179" s="2" t="s">
        <v>18</v>
      </c>
      <c r="E179" s="2" t="s">
        <v>19</v>
      </c>
      <c r="F179" s="2" t="s">
        <v>20</v>
      </c>
      <c r="G179" s="2" t="s">
        <v>631</v>
      </c>
      <c r="H179" s="2" t="s">
        <v>632</v>
      </c>
      <c r="I179" s="2"/>
      <c r="J179" s="2" t="s">
        <v>23</v>
      </c>
      <c r="K179" s="2"/>
      <c r="L179" s="2"/>
      <c r="M179" s="2"/>
      <c r="N179" s="2"/>
      <c r="O179" s="2"/>
    </row>
    <row r="180" spans="1:15" ht="57.6">
      <c r="A180" s="2" t="s">
        <v>633</v>
      </c>
      <c r="B180" s="2" t="s">
        <v>629</v>
      </c>
      <c r="C180" s="2" t="s">
        <v>630</v>
      </c>
      <c r="D180" s="2" t="s">
        <v>18</v>
      </c>
      <c r="E180" s="2" t="s">
        <v>19</v>
      </c>
      <c r="F180" s="2" t="s">
        <v>20</v>
      </c>
      <c r="G180" s="2" t="s">
        <v>634</v>
      </c>
      <c r="H180" s="2" t="s">
        <v>635</v>
      </c>
      <c r="I180" s="2"/>
      <c r="J180" s="2" t="s">
        <v>23</v>
      </c>
      <c r="K180" s="2"/>
      <c r="L180" s="2"/>
      <c r="M180" s="2"/>
      <c r="N180" s="2"/>
      <c r="O180" s="2"/>
    </row>
    <row r="181" spans="1:15" ht="28.8">
      <c r="A181" s="2" t="s">
        <v>636</v>
      </c>
      <c r="B181" s="2" t="s">
        <v>629</v>
      </c>
      <c r="C181" s="2" t="s">
        <v>630</v>
      </c>
      <c r="D181" s="2" t="s">
        <v>18</v>
      </c>
      <c r="E181" s="2" t="s">
        <v>31</v>
      </c>
      <c r="F181" s="2" t="s">
        <v>20</v>
      </c>
      <c r="G181" s="2" t="s">
        <v>637</v>
      </c>
      <c r="H181" s="2" t="s">
        <v>638</v>
      </c>
      <c r="I181" s="2"/>
      <c r="J181" s="2" t="s">
        <v>23</v>
      </c>
      <c r="K181" s="2"/>
      <c r="L181" s="2"/>
      <c r="M181" s="2"/>
      <c r="N181" s="2"/>
      <c r="O181" s="2"/>
    </row>
    <row r="182" spans="1:15">
      <c r="A182" s="2" t="s">
        <v>639</v>
      </c>
      <c r="B182" s="2" t="s">
        <v>629</v>
      </c>
      <c r="C182" s="2" t="s">
        <v>630</v>
      </c>
      <c r="D182" s="2" t="s">
        <v>67</v>
      </c>
      <c r="E182" s="2" t="s">
        <v>31</v>
      </c>
      <c r="F182" s="2" t="s">
        <v>20</v>
      </c>
      <c r="G182" s="2" t="s">
        <v>640</v>
      </c>
      <c r="H182" s="2" t="s">
        <v>621</v>
      </c>
      <c r="I182" s="2"/>
      <c r="J182" s="2" t="s">
        <v>23</v>
      </c>
      <c r="K182" s="2"/>
      <c r="L182" s="2"/>
      <c r="M182" s="2"/>
      <c r="N182" s="2"/>
      <c r="O182" s="2"/>
    </row>
    <row r="183" spans="1:15">
      <c r="A183" s="2" t="s">
        <v>641</v>
      </c>
      <c r="B183" s="2" t="s">
        <v>629</v>
      </c>
      <c r="C183" s="2" t="s">
        <v>630</v>
      </c>
      <c r="D183" s="2" t="s">
        <v>50</v>
      </c>
      <c r="E183" s="2" t="s">
        <v>31</v>
      </c>
      <c r="F183" s="2" t="s">
        <v>20</v>
      </c>
      <c r="G183" s="2" t="s">
        <v>597</v>
      </c>
      <c r="H183" s="2" t="s">
        <v>642</v>
      </c>
      <c r="I183" s="2"/>
      <c r="J183" s="2" t="s">
        <v>23</v>
      </c>
      <c r="K183" s="2"/>
      <c r="L183" s="2"/>
      <c r="M183" s="2"/>
      <c r="N183" s="2"/>
      <c r="O183" s="2"/>
    </row>
    <row r="184" spans="1:15" ht="28.8">
      <c r="A184" s="2" t="s">
        <v>643</v>
      </c>
      <c r="B184" s="2" t="s">
        <v>644</v>
      </c>
      <c r="C184" s="2" t="s">
        <v>645</v>
      </c>
      <c r="D184" s="2" t="s">
        <v>18</v>
      </c>
      <c r="E184" s="2" t="s">
        <v>31</v>
      </c>
      <c r="F184" s="2" t="s">
        <v>20</v>
      </c>
      <c r="G184" s="2" t="s">
        <v>646</v>
      </c>
      <c r="H184" s="2" t="s">
        <v>647</v>
      </c>
      <c r="I184" s="2"/>
      <c r="J184" s="2" t="s">
        <v>23</v>
      </c>
      <c r="K184" s="2"/>
      <c r="L184" s="2"/>
      <c r="M184" s="2"/>
      <c r="N184" s="2"/>
      <c r="O184" s="2"/>
    </row>
    <row r="185" spans="1:15" ht="28.8">
      <c r="A185" s="2" t="s">
        <v>648</v>
      </c>
      <c r="B185" s="2" t="s">
        <v>644</v>
      </c>
      <c r="C185" s="2" t="s">
        <v>645</v>
      </c>
      <c r="D185" s="2" t="s">
        <v>18</v>
      </c>
      <c r="E185" s="2" t="s">
        <v>31</v>
      </c>
      <c r="F185" s="2" t="s">
        <v>20</v>
      </c>
      <c r="G185" s="2" t="s">
        <v>649</v>
      </c>
      <c r="H185" s="2" t="s">
        <v>650</v>
      </c>
      <c r="I185" s="2"/>
      <c r="J185" s="2" t="s">
        <v>23</v>
      </c>
      <c r="K185" s="2"/>
      <c r="L185" s="2"/>
      <c r="M185" s="2"/>
      <c r="N185" s="2"/>
      <c r="O185" s="2"/>
    </row>
    <row r="186" spans="1:15">
      <c r="A186" s="2" t="s">
        <v>651</v>
      </c>
      <c r="B186" s="2" t="s">
        <v>644</v>
      </c>
      <c r="C186" s="2" t="s">
        <v>645</v>
      </c>
      <c r="D186" s="2" t="s">
        <v>18</v>
      </c>
      <c r="E186" s="2" t="s">
        <v>46</v>
      </c>
      <c r="F186" s="2" t="s">
        <v>20</v>
      </c>
      <c r="G186" s="2" t="s">
        <v>652</v>
      </c>
      <c r="H186" s="2" t="s">
        <v>653</v>
      </c>
      <c r="I186" s="2"/>
      <c r="J186" s="2" t="s">
        <v>23</v>
      </c>
      <c r="K186" s="2"/>
      <c r="L186" s="2"/>
      <c r="M186" s="2"/>
      <c r="N186" s="2"/>
      <c r="O186" s="2"/>
    </row>
    <row r="187" spans="1:15">
      <c r="A187" s="2" t="s">
        <v>654</v>
      </c>
      <c r="B187" s="2" t="s">
        <v>644</v>
      </c>
      <c r="C187" s="2" t="s">
        <v>645</v>
      </c>
      <c r="D187" s="2" t="s">
        <v>50</v>
      </c>
      <c r="E187" s="2" t="s">
        <v>46</v>
      </c>
      <c r="F187" s="2" t="s">
        <v>20</v>
      </c>
      <c r="G187" s="2" t="s">
        <v>597</v>
      </c>
      <c r="H187" s="2" t="s">
        <v>655</v>
      </c>
      <c r="I187" s="2"/>
      <c r="J187" s="2" t="s">
        <v>23</v>
      </c>
      <c r="K187" s="2"/>
      <c r="L187" s="2"/>
      <c r="M187" s="2"/>
      <c r="N187" s="2"/>
      <c r="O187" s="2"/>
    </row>
    <row r="188" spans="1:15" ht="43.2">
      <c r="A188" s="2" t="s">
        <v>656</v>
      </c>
      <c r="B188" s="2" t="s">
        <v>657</v>
      </c>
      <c r="C188" s="2" t="s">
        <v>658</v>
      </c>
      <c r="D188" s="2" t="s">
        <v>18</v>
      </c>
      <c r="E188" s="2" t="s">
        <v>19</v>
      </c>
      <c r="F188" s="2" t="s">
        <v>20</v>
      </c>
      <c r="G188" s="2" t="s">
        <v>659</v>
      </c>
      <c r="H188" s="2" t="s">
        <v>660</v>
      </c>
      <c r="I188" s="2"/>
      <c r="J188" s="2" t="s">
        <v>23</v>
      </c>
      <c r="K188" s="2"/>
      <c r="L188" s="2"/>
      <c r="M188" s="2"/>
      <c r="N188" s="2"/>
      <c r="O188" s="2"/>
    </row>
    <row r="189" spans="1:15" ht="43.2">
      <c r="A189" s="2" t="s">
        <v>661</v>
      </c>
      <c r="B189" s="2" t="s">
        <v>657</v>
      </c>
      <c r="C189" s="2" t="s">
        <v>658</v>
      </c>
      <c r="D189" s="2" t="s">
        <v>18</v>
      </c>
      <c r="E189" s="2" t="s">
        <v>19</v>
      </c>
      <c r="F189" s="2" t="s">
        <v>20</v>
      </c>
      <c r="G189" s="2" t="s">
        <v>662</v>
      </c>
      <c r="H189" s="2" t="s">
        <v>663</v>
      </c>
      <c r="I189" s="2"/>
      <c r="J189" s="2" t="s">
        <v>23</v>
      </c>
      <c r="K189" s="2"/>
      <c r="L189" s="2"/>
      <c r="M189" s="2"/>
      <c r="N189" s="2"/>
      <c r="O189" s="2"/>
    </row>
    <row r="190" spans="1:15">
      <c r="A190" s="2" t="s">
        <v>664</v>
      </c>
      <c r="B190" s="2" t="s">
        <v>657</v>
      </c>
      <c r="C190" s="2" t="s">
        <v>658</v>
      </c>
      <c r="D190" s="2" t="s">
        <v>143</v>
      </c>
      <c r="E190" s="2" t="s">
        <v>19</v>
      </c>
      <c r="F190" s="2" t="s">
        <v>20</v>
      </c>
      <c r="G190" s="2" t="s">
        <v>665</v>
      </c>
      <c r="H190" s="2" t="s">
        <v>666</v>
      </c>
      <c r="I190" s="2"/>
      <c r="J190" s="2" t="s">
        <v>23</v>
      </c>
      <c r="K190" s="2"/>
      <c r="L190" s="2"/>
      <c r="M190" s="2"/>
      <c r="N190" s="2"/>
      <c r="O190" s="2"/>
    </row>
    <row r="191" spans="1:15">
      <c r="A191" s="2" t="s">
        <v>667</v>
      </c>
      <c r="B191" s="2" t="s">
        <v>657</v>
      </c>
      <c r="C191" s="2" t="s">
        <v>658</v>
      </c>
      <c r="D191" s="2" t="s">
        <v>143</v>
      </c>
      <c r="E191" s="2" t="s">
        <v>31</v>
      </c>
      <c r="F191" s="2" t="s">
        <v>20</v>
      </c>
      <c r="G191" s="2" t="s">
        <v>668</v>
      </c>
      <c r="H191" s="2" t="s">
        <v>249</v>
      </c>
      <c r="I191" s="2"/>
      <c r="J191" s="2" t="s">
        <v>23</v>
      </c>
      <c r="K191" s="2"/>
      <c r="L191" s="2"/>
      <c r="M191" s="2"/>
      <c r="N191" s="2"/>
      <c r="O191" s="2"/>
    </row>
    <row r="192" spans="1:15" ht="28.8">
      <c r="A192" s="2" t="s">
        <v>669</v>
      </c>
      <c r="B192" s="2" t="s">
        <v>657</v>
      </c>
      <c r="C192" s="2" t="s">
        <v>658</v>
      </c>
      <c r="D192" s="2" t="s">
        <v>143</v>
      </c>
      <c r="E192" s="2" t="s">
        <v>31</v>
      </c>
      <c r="F192" s="2" t="s">
        <v>20</v>
      </c>
      <c r="G192" s="2" t="s">
        <v>670</v>
      </c>
      <c r="H192" s="2" t="s">
        <v>671</v>
      </c>
      <c r="I192" s="2"/>
      <c r="J192" s="2" t="s">
        <v>23</v>
      </c>
      <c r="K192" s="2"/>
      <c r="L192" s="2"/>
      <c r="M192" s="2"/>
      <c r="N192" s="2"/>
      <c r="O192" s="2"/>
    </row>
    <row r="193" spans="1:15" ht="28.8">
      <c r="A193" s="2" t="s">
        <v>672</v>
      </c>
      <c r="B193" s="2" t="s">
        <v>657</v>
      </c>
      <c r="C193" s="2" t="s">
        <v>658</v>
      </c>
      <c r="D193" s="2" t="s">
        <v>143</v>
      </c>
      <c r="E193" s="2" t="s">
        <v>31</v>
      </c>
      <c r="F193" s="2" t="s">
        <v>20</v>
      </c>
      <c r="G193" s="2" t="s">
        <v>673</v>
      </c>
      <c r="H193" s="2" t="s">
        <v>674</v>
      </c>
      <c r="I193" s="2"/>
      <c r="J193" s="2" t="s">
        <v>23</v>
      </c>
      <c r="K193" s="2"/>
      <c r="L193" s="2"/>
      <c r="M193" s="2"/>
      <c r="N193" s="2"/>
      <c r="O193" s="2"/>
    </row>
    <row r="194" spans="1:15" ht="28.8">
      <c r="A194" s="2" t="s">
        <v>675</v>
      </c>
      <c r="B194" s="2" t="s">
        <v>657</v>
      </c>
      <c r="C194" s="2" t="s">
        <v>658</v>
      </c>
      <c r="D194" s="2" t="s">
        <v>106</v>
      </c>
      <c r="E194" s="2" t="s">
        <v>19</v>
      </c>
      <c r="F194" s="2" t="s">
        <v>20</v>
      </c>
      <c r="G194" s="2" t="s">
        <v>676</v>
      </c>
      <c r="H194" s="2" t="s">
        <v>677</v>
      </c>
      <c r="I194" s="2"/>
      <c r="J194" s="2" t="s">
        <v>23</v>
      </c>
      <c r="K194" s="2"/>
      <c r="L194" s="2"/>
      <c r="M194" s="2"/>
      <c r="N194" s="2"/>
      <c r="O194" s="2"/>
    </row>
    <row r="195" spans="1:15" ht="28.8">
      <c r="A195" s="2" t="s">
        <v>678</v>
      </c>
      <c r="B195" s="2" t="s">
        <v>657</v>
      </c>
      <c r="C195" s="2" t="s">
        <v>658</v>
      </c>
      <c r="D195" s="2" t="s">
        <v>106</v>
      </c>
      <c r="E195" s="2" t="s">
        <v>19</v>
      </c>
      <c r="F195" s="2" t="s">
        <v>20</v>
      </c>
      <c r="G195" s="2" t="s">
        <v>679</v>
      </c>
      <c r="H195" s="2" t="s">
        <v>680</v>
      </c>
      <c r="I195" s="2"/>
      <c r="J195" s="2" t="s">
        <v>23</v>
      </c>
      <c r="K195" s="2"/>
      <c r="L195" s="2"/>
      <c r="M195" s="2"/>
      <c r="N195" s="2"/>
      <c r="O195" s="2"/>
    </row>
    <row r="196" spans="1:15">
      <c r="A196" s="2" t="s">
        <v>681</v>
      </c>
      <c r="B196" s="2" t="s">
        <v>657</v>
      </c>
      <c r="C196" s="2" t="s">
        <v>658</v>
      </c>
      <c r="D196" s="2" t="s">
        <v>106</v>
      </c>
      <c r="E196" s="2" t="s">
        <v>31</v>
      </c>
      <c r="F196" s="2" t="s">
        <v>20</v>
      </c>
      <c r="G196" s="2" t="s">
        <v>682</v>
      </c>
      <c r="H196" s="2" t="s">
        <v>683</v>
      </c>
      <c r="I196" s="2"/>
      <c r="J196" s="2" t="s">
        <v>23</v>
      </c>
      <c r="K196" s="2"/>
      <c r="L196" s="2"/>
      <c r="M196" s="2"/>
      <c r="N196" s="2"/>
      <c r="O196" s="2"/>
    </row>
    <row r="197" spans="1:15">
      <c r="A197" s="2" t="s">
        <v>684</v>
      </c>
      <c r="B197" s="2" t="s">
        <v>657</v>
      </c>
      <c r="C197" s="2" t="s">
        <v>658</v>
      </c>
      <c r="D197" s="2" t="s">
        <v>18</v>
      </c>
      <c r="E197" s="2" t="s">
        <v>31</v>
      </c>
      <c r="F197" s="2" t="s">
        <v>20</v>
      </c>
      <c r="G197" s="2" t="s">
        <v>685</v>
      </c>
      <c r="H197" s="2" t="s">
        <v>686</v>
      </c>
      <c r="I197" s="2"/>
      <c r="J197" s="2" t="s">
        <v>23</v>
      </c>
      <c r="K197" s="2"/>
      <c r="L197" s="2"/>
      <c r="M197" s="2"/>
      <c r="N197" s="2"/>
      <c r="O197" s="2"/>
    </row>
    <row r="198" spans="1:15" ht="43.2">
      <c r="A198" s="2" t="s">
        <v>687</v>
      </c>
      <c r="B198" s="2" t="s">
        <v>657</v>
      </c>
      <c r="C198" s="2" t="s">
        <v>658</v>
      </c>
      <c r="D198" s="2" t="s">
        <v>67</v>
      </c>
      <c r="E198" s="2" t="s">
        <v>19</v>
      </c>
      <c r="F198" s="2" t="s">
        <v>20</v>
      </c>
      <c r="G198" s="2" t="s">
        <v>688</v>
      </c>
      <c r="H198" s="2" t="s">
        <v>689</v>
      </c>
      <c r="I198" s="2"/>
      <c r="J198" s="2" t="s">
        <v>23</v>
      </c>
      <c r="K198" s="2"/>
      <c r="L198" s="2"/>
      <c r="M198" s="2"/>
      <c r="N198" s="2"/>
      <c r="O198" s="2"/>
    </row>
    <row r="199" spans="1:15">
      <c r="A199" s="2" t="s">
        <v>690</v>
      </c>
      <c r="B199" s="2" t="s">
        <v>657</v>
      </c>
      <c r="C199" s="2" t="s">
        <v>658</v>
      </c>
      <c r="D199" s="2" t="s">
        <v>18</v>
      </c>
      <c r="E199" s="2" t="s">
        <v>31</v>
      </c>
      <c r="F199" s="2" t="s">
        <v>20</v>
      </c>
      <c r="G199" s="2" t="s">
        <v>691</v>
      </c>
      <c r="H199" s="2" t="s">
        <v>692</v>
      </c>
      <c r="I199" s="2"/>
      <c r="J199" s="2" t="s">
        <v>23</v>
      </c>
      <c r="K199" s="2"/>
      <c r="L199" s="2"/>
      <c r="M199" s="2"/>
      <c r="N199" s="2"/>
      <c r="O199" s="2"/>
    </row>
    <row r="200" spans="1:15" ht="43.2">
      <c r="A200" s="2" t="s">
        <v>693</v>
      </c>
      <c r="B200" s="2" t="s">
        <v>657</v>
      </c>
      <c r="C200" s="2" t="s">
        <v>658</v>
      </c>
      <c r="D200" s="2" t="s">
        <v>18</v>
      </c>
      <c r="E200" s="2" t="s">
        <v>31</v>
      </c>
      <c r="F200" s="2" t="s">
        <v>20</v>
      </c>
      <c r="G200" s="2" t="s">
        <v>694</v>
      </c>
      <c r="H200" s="2" t="s">
        <v>695</v>
      </c>
      <c r="I200" s="2"/>
      <c r="J200" s="2" t="s">
        <v>23</v>
      </c>
      <c r="K200" s="2"/>
      <c r="L200" s="2"/>
      <c r="M200" s="2"/>
      <c r="N200" s="2"/>
      <c r="O200" s="2"/>
    </row>
    <row r="201" spans="1:15">
      <c r="A201" s="2" t="s">
        <v>696</v>
      </c>
      <c r="B201" s="2" t="s">
        <v>657</v>
      </c>
      <c r="C201" s="2" t="s">
        <v>658</v>
      </c>
      <c r="D201" s="2" t="s">
        <v>18</v>
      </c>
      <c r="E201" s="2" t="s">
        <v>31</v>
      </c>
      <c r="F201" s="2" t="s">
        <v>20</v>
      </c>
      <c r="G201" s="2" t="s">
        <v>697</v>
      </c>
      <c r="H201" s="2" t="s">
        <v>698</v>
      </c>
      <c r="I201" s="2"/>
      <c r="J201" s="2" t="s">
        <v>23</v>
      </c>
      <c r="K201" s="2"/>
      <c r="L201" s="2"/>
      <c r="M201" s="2"/>
      <c r="N201" s="2"/>
      <c r="O201" s="2"/>
    </row>
    <row r="202" spans="1:15">
      <c r="A202" s="2" t="s">
        <v>699</v>
      </c>
      <c r="B202" s="2" t="s">
        <v>657</v>
      </c>
      <c r="C202" s="2" t="s">
        <v>658</v>
      </c>
      <c r="D202" s="2" t="s">
        <v>50</v>
      </c>
      <c r="E202" s="2" t="s">
        <v>31</v>
      </c>
      <c r="F202" s="2" t="s">
        <v>20</v>
      </c>
      <c r="G202" s="2" t="s">
        <v>597</v>
      </c>
      <c r="H202" s="2" t="s">
        <v>700</v>
      </c>
      <c r="I202" s="2"/>
      <c r="J202" s="2" t="s">
        <v>23</v>
      </c>
      <c r="K202" s="2"/>
      <c r="L202" s="2"/>
      <c r="M202" s="2"/>
      <c r="N202" s="2"/>
      <c r="O202" s="2"/>
    </row>
    <row r="203" spans="1:15" ht="28.8">
      <c r="A203" s="2" t="s">
        <v>701</v>
      </c>
      <c r="B203" s="2" t="s">
        <v>657</v>
      </c>
      <c r="C203" s="2" t="s">
        <v>658</v>
      </c>
      <c r="D203" s="2" t="s">
        <v>113</v>
      </c>
      <c r="E203" s="2" t="s">
        <v>46</v>
      </c>
      <c r="F203" s="2" t="s">
        <v>20</v>
      </c>
      <c r="G203" s="2" t="s">
        <v>702</v>
      </c>
      <c r="H203" s="2" t="s">
        <v>703</v>
      </c>
      <c r="I203" s="2"/>
      <c r="J203" s="2" t="s">
        <v>23</v>
      </c>
      <c r="K203" s="2"/>
      <c r="L203" s="2"/>
      <c r="M203" s="2"/>
      <c r="N203" s="2"/>
      <c r="O203" s="2"/>
    </row>
    <row r="204" spans="1:15" ht="57.6">
      <c r="A204" s="2" t="s">
        <v>704</v>
      </c>
      <c r="B204" s="2" t="s">
        <v>705</v>
      </c>
      <c r="C204" s="2" t="s">
        <v>706</v>
      </c>
      <c r="D204" s="2" t="s">
        <v>18</v>
      </c>
      <c r="E204" s="2" t="s">
        <v>19</v>
      </c>
      <c r="F204" s="2" t="s">
        <v>20</v>
      </c>
      <c r="G204" s="2" t="s">
        <v>707</v>
      </c>
      <c r="H204" s="2" t="s">
        <v>708</v>
      </c>
      <c r="I204" s="2"/>
      <c r="J204" s="2" t="s">
        <v>23</v>
      </c>
      <c r="K204" s="2"/>
      <c r="L204" s="2"/>
      <c r="M204" s="2"/>
      <c r="N204" s="2"/>
      <c r="O204" s="2"/>
    </row>
    <row r="205" spans="1:15" ht="28.8">
      <c r="A205" s="2" t="s">
        <v>709</v>
      </c>
      <c r="B205" s="2" t="s">
        <v>705</v>
      </c>
      <c r="C205" s="2" t="s">
        <v>706</v>
      </c>
      <c r="D205" s="2" t="s">
        <v>18</v>
      </c>
      <c r="E205" s="2" t="s">
        <v>19</v>
      </c>
      <c r="F205" s="2" t="s">
        <v>20</v>
      </c>
      <c r="G205" s="2" t="s">
        <v>710</v>
      </c>
      <c r="H205" s="2" t="s">
        <v>711</v>
      </c>
      <c r="I205" s="2"/>
      <c r="J205" s="2" t="s">
        <v>23</v>
      </c>
      <c r="K205" s="2"/>
      <c r="L205" s="2"/>
      <c r="M205" s="2"/>
      <c r="N205" s="2"/>
      <c r="O205" s="2"/>
    </row>
    <row r="206" spans="1:15" ht="28.8">
      <c r="A206" s="2" t="s">
        <v>712</v>
      </c>
      <c r="B206" s="2" t="s">
        <v>705</v>
      </c>
      <c r="C206" s="2" t="s">
        <v>706</v>
      </c>
      <c r="D206" s="2" t="s">
        <v>18</v>
      </c>
      <c r="E206" s="2" t="s">
        <v>31</v>
      </c>
      <c r="F206" s="2" t="s">
        <v>20</v>
      </c>
      <c r="G206" s="2" t="s">
        <v>713</v>
      </c>
      <c r="H206" s="2" t="s">
        <v>714</v>
      </c>
      <c r="I206" s="2"/>
      <c r="J206" s="2" t="s">
        <v>23</v>
      </c>
      <c r="K206" s="2"/>
      <c r="L206" s="2"/>
      <c r="M206" s="2"/>
      <c r="N206" s="2"/>
      <c r="O206" s="2"/>
    </row>
    <row r="207" spans="1:15">
      <c r="A207" s="2" t="s">
        <v>715</v>
      </c>
      <c r="B207" s="2" t="s">
        <v>705</v>
      </c>
      <c r="C207" s="2" t="s">
        <v>706</v>
      </c>
      <c r="D207" s="2" t="s">
        <v>18</v>
      </c>
      <c r="E207" s="2" t="s">
        <v>31</v>
      </c>
      <c r="F207" s="2" t="s">
        <v>20</v>
      </c>
      <c r="G207" s="2" t="s">
        <v>716</v>
      </c>
      <c r="H207" s="2" t="s">
        <v>717</v>
      </c>
      <c r="I207" s="2"/>
      <c r="J207" s="2" t="s">
        <v>23</v>
      </c>
      <c r="K207" s="2"/>
      <c r="L207" s="2"/>
      <c r="M207" s="2"/>
      <c r="N207" s="2"/>
      <c r="O207" s="2"/>
    </row>
    <row r="208" spans="1:15">
      <c r="A208" s="2" t="s">
        <v>718</v>
      </c>
      <c r="B208" s="2" t="s">
        <v>705</v>
      </c>
      <c r="C208" s="2" t="s">
        <v>706</v>
      </c>
      <c r="D208" s="2" t="s">
        <v>50</v>
      </c>
      <c r="E208" s="2" t="s">
        <v>46</v>
      </c>
      <c r="F208" s="2" t="s">
        <v>20</v>
      </c>
      <c r="G208" s="2" t="s">
        <v>597</v>
      </c>
      <c r="H208" s="2" t="s">
        <v>719</v>
      </c>
      <c r="I208" s="2"/>
      <c r="J208" s="2" t="s">
        <v>23</v>
      </c>
      <c r="K208" s="2"/>
      <c r="L208" s="2"/>
      <c r="M208" s="2"/>
      <c r="N208" s="2"/>
      <c r="O208" s="2"/>
    </row>
    <row r="209" spans="1:15" ht="57.6">
      <c r="A209" s="2" t="s">
        <v>720</v>
      </c>
      <c r="B209" s="2" t="s">
        <v>721</v>
      </c>
      <c r="C209" s="2" t="s">
        <v>722</v>
      </c>
      <c r="D209" s="2" t="s">
        <v>18</v>
      </c>
      <c r="E209" s="2" t="s">
        <v>19</v>
      </c>
      <c r="F209" s="2" t="s">
        <v>20</v>
      </c>
      <c r="G209" s="2" t="s">
        <v>723</v>
      </c>
      <c r="H209" s="2" t="s">
        <v>724</v>
      </c>
      <c r="I209" s="2"/>
      <c r="J209" s="2" t="s">
        <v>23</v>
      </c>
      <c r="K209" s="2"/>
      <c r="L209" s="2"/>
      <c r="M209" s="2"/>
      <c r="N209" s="2"/>
      <c r="O209" s="2"/>
    </row>
    <row r="210" spans="1:15" ht="28.8">
      <c r="A210" s="2" t="s">
        <v>725</v>
      </c>
      <c r="B210" s="2" t="s">
        <v>721</v>
      </c>
      <c r="C210" s="2" t="s">
        <v>722</v>
      </c>
      <c r="D210" s="2" t="s">
        <v>18</v>
      </c>
      <c r="E210" s="2" t="s">
        <v>31</v>
      </c>
      <c r="F210" s="2" t="s">
        <v>20</v>
      </c>
      <c r="G210" s="2" t="s">
        <v>726</v>
      </c>
      <c r="H210" s="2" t="s">
        <v>727</v>
      </c>
      <c r="I210" s="2"/>
      <c r="J210" s="2" t="s">
        <v>23</v>
      </c>
      <c r="K210" s="2"/>
      <c r="L210" s="2"/>
      <c r="M210" s="2"/>
      <c r="N210" s="2"/>
      <c r="O210" s="2"/>
    </row>
    <row r="211" spans="1:15" ht="28.8">
      <c r="A211" s="2" t="s">
        <v>728</v>
      </c>
      <c r="B211" s="2" t="s">
        <v>721</v>
      </c>
      <c r="C211" s="2" t="s">
        <v>722</v>
      </c>
      <c r="D211" s="2" t="s">
        <v>18</v>
      </c>
      <c r="E211" s="2" t="s">
        <v>19</v>
      </c>
      <c r="F211" s="2" t="s">
        <v>20</v>
      </c>
      <c r="G211" s="2" t="s">
        <v>729</v>
      </c>
      <c r="H211" s="2" t="s">
        <v>730</v>
      </c>
      <c r="I211" s="2"/>
      <c r="J211" s="2" t="s">
        <v>23</v>
      </c>
      <c r="K211" s="2"/>
      <c r="L211" s="2"/>
      <c r="M211" s="2"/>
      <c r="N211" s="2"/>
      <c r="O211" s="2"/>
    </row>
    <row r="212" spans="1:15" ht="28.8">
      <c r="A212" s="2" t="s">
        <v>731</v>
      </c>
      <c r="B212" s="2" t="s">
        <v>721</v>
      </c>
      <c r="C212" s="2" t="s">
        <v>722</v>
      </c>
      <c r="D212" s="2" t="s">
        <v>143</v>
      </c>
      <c r="E212" s="2" t="s">
        <v>19</v>
      </c>
      <c r="F212" s="2" t="s">
        <v>20</v>
      </c>
      <c r="G212" s="2" t="s">
        <v>732</v>
      </c>
      <c r="H212" s="2" t="s">
        <v>733</v>
      </c>
      <c r="I212" s="2"/>
      <c r="J212" s="2" t="s">
        <v>23</v>
      </c>
      <c r="K212" s="2"/>
      <c r="L212" s="2"/>
      <c r="M212" s="2"/>
      <c r="N212" s="2"/>
      <c r="O212" s="2"/>
    </row>
    <row r="213" spans="1:15" ht="28.8">
      <c r="A213" s="2" t="s">
        <v>734</v>
      </c>
      <c r="B213" s="2" t="s">
        <v>721</v>
      </c>
      <c r="C213" s="2" t="s">
        <v>722</v>
      </c>
      <c r="D213" s="2" t="s">
        <v>143</v>
      </c>
      <c r="E213" s="2" t="s">
        <v>31</v>
      </c>
      <c r="F213" s="2" t="s">
        <v>20</v>
      </c>
      <c r="G213" s="2" t="s">
        <v>735</v>
      </c>
      <c r="H213" s="2" t="s">
        <v>736</v>
      </c>
      <c r="I213" s="2"/>
      <c r="J213" s="2" t="s">
        <v>23</v>
      </c>
      <c r="K213" s="2"/>
      <c r="L213" s="2"/>
      <c r="M213" s="2"/>
      <c r="N213" s="2"/>
      <c r="O213" s="2"/>
    </row>
    <row r="214" spans="1:15">
      <c r="A214" s="2" t="s">
        <v>737</v>
      </c>
      <c r="B214" s="2" t="s">
        <v>721</v>
      </c>
      <c r="C214" s="2" t="s">
        <v>722</v>
      </c>
      <c r="D214" s="2" t="s">
        <v>143</v>
      </c>
      <c r="E214" s="2" t="s">
        <v>31</v>
      </c>
      <c r="F214" s="2" t="s">
        <v>20</v>
      </c>
      <c r="G214" s="2" t="s">
        <v>738</v>
      </c>
      <c r="H214" s="2" t="s">
        <v>739</v>
      </c>
      <c r="I214" s="2"/>
      <c r="J214" s="2" t="s">
        <v>23</v>
      </c>
      <c r="K214" s="2"/>
      <c r="L214" s="2"/>
      <c r="M214" s="2"/>
      <c r="N214" s="2"/>
      <c r="O214" s="2"/>
    </row>
    <row r="215" spans="1:15" ht="43.2">
      <c r="A215" s="2" t="s">
        <v>740</v>
      </c>
      <c r="B215" s="2" t="s">
        <v>721</v>
      </c>
      <c r="C215" s="2" t="s">
        <v>722</v>
      </c>
      <c r="D215" s="2" t="s">
        <v>143</v>
      </c>
      <c r="E215" s="2" t="s">
        <v>19</v>
      </c>
      <c r="F215" s="2" t="s">
        <v>20</v>
      </c>
      <c r="G215" s="2" t="s">
        <v>741</v>
      </c>
      <c r="H215" s="2" t="s">
        <v>742</v>
      </c>
      <c r="I215" s="2"/>
      <c r="J215" s="2" t="s">
        <v>23</v>
      </c>
      <c r="K215" s="2"/>
      <c r="L215" s="2"/>
      <c r="M215" s="2"/>
      <c r="N215" s="2"/>
      <c r="O215" s="2"/>
    </row>
    <row r="216" spans="1:15" ht="43.2">
      <c r="A216" s="2" t="s">
        <v>743</v>
      </c>
      <c r="B216" s="2" t="s">
        <v>721</v>
      </c>
      <c r="C216" s="2" t="s">
        <v>722</v>
      </c>
      <c r="D216" s="2" t="s">
        <v>143</v>
      </c>
      <c r="E216" s="2" t="s">
        <v>31</v>
      </c>
      <c r="F216" s="2" t="s">
        <v>20</v>
      </c>
      <c r="G216" s="2" t="s">
        <v>744</v>
      </c>
      <c r="H216" s="2" t="s">
        <v>745</v>
      </c>
      <c r="I216" s="2"/>
      <c r="J216" s="2" t="s">
        <v>23</v>
      </c>
      <c r="K216" s="2"/>
      <c r="L216" s="2"/>
      <c r="M216" s="2"/>
      <c r="N216" s="2"/>
      <c r="O216" s="2"/>
    </row>
    <row r="217" spans="1:15">
      <c r="A217" s="2" t="s">
        <v>746</v>
      </c>
      <c r="B217" s="2" t="s">
        <v>721</v>
      </c>
      <c r="C217" s="2" t="s">
        <v>722</v>
      </c>
      <c r="D217" s="2" t="s">
        <v>143</v>
      </c>
      <c r="E217" s="2" t="s">
        <v>31</v>
      </c>
      <c r="F217" s="2" t="s">
        <v>20</v>
      </c>
      <c r="G217" s="2" t="s">
        <v>747</v>
      </c>
      <c r="H217" s="2" t="s">
        <v>748</v>
      </c>
      <c r="I217" s="2"/>
      <c r="J217" s="2" t="s">
        <v>23</v>
      </c>
      <c r="K217" s="2"/>
      <c r="L217" s="2"/>
      <c r="M217" s="2"/>
      <c r="N217" s="2"/>
      <c r="O217" s="2"/>
    </row>
    <row r="218" spans="1:15" ht="28.8">
      <c r="A218" s="2" t="s">
        <v>749</v>
      </c>
      <c r="B218" s="2" t="s">
        <v>721</v>
      </c>
      <c r="C218" s="2" t="s">
        <v>722</v>
      </c>
      <c r="D218" s="2" t="s">
        <v>18</v>
      </c>
      <c r="E218" s="2" t="s">
        <v>31</v>
      </c>
      <c r="F218" s="2" t="s">
        <v>20</v>
      </c>
      <c r="G218" s="2" t="s">
        <v>750</v>
      </c>
      <c r="H218" s="2" t="s">
        <v>751</v>
      </c>
      <c r="I218" s="2"/>
      <c r="J218" s="2" t="s">
        <v>23</v>
      </c>
      <c r="K218" s="2"/>
      <c r="L218" s="2"/>
      <c r="M218" s="2"/>
      <c r="N218" s="2"/>
      <c r="O218" s="2"/>
    </row>
    <row r="219" spans="1:15" ht="28.8">
      <c r="A219" s="2" t="s">
        <v>752</v>
      </c>
      <c r="B219" s="2" t="s">
        <v>721</v>
      </c>
      <c r="C219" s="2" t="s">
        <v>722</v>
      </c>
      <c r="D219" s="2" t="s">
        <v>18</v>
      </c>
      <c r="E219" s="2" t="s">
        <v>31</v>
      </c>
      <c r="F219" s="2" t="s">
        <v>20</v>
      </c>
      <c r="G219" s="2" t="s">
        <v>753</v>
      </c>
      <c r="H219" s="2" t="s">
        <v>754</v>
      </c>
      <c r="I219" s="2"/>
      <c r="J219" s="2" t="s">
        <v>23</v>
      </c>
      <c r="K219" s="2"/>
      <c r="L219" s="2"/>
      <c r="M219" s="2"/>
      <c r="N219" s="2"/>
      <c r="O219" s="2"/>
    </row>
    <row r="220" spans="1:15">
      <c r="A220" s="2" t="s">
        <v>755</v>
      </c>
      <c r="B220" s="2" t="s">
        <v>721</v>
      </c>
      <c r="C220" s="2" t="s">
        <v>722</v>
      </c>
      <c r="D220" s="2" t="s">
        <v>106</v>
      </c>
      <c r="E220" s="2" t="s">
        <v>19</v>
      </c>
      <c r="F220" s="2" t="s">
        <v>20</v>
      </c>
      <c r="G220" s="2" t="s">
        <v>756</v>
      </c>
      <c r="H220" s="2" t="s">
        <v>757</v>
      </c>
      <c r="I220" s="2"/>
      <c r="J220" s="2" t="s">
        <v>23</v>
      </c>
      <c r="K220" s="2"/>
      <c r="L220" s="2"/>
      <c r="M220" s="2"/>
      <c r="N220" s="2"/>
      <c r="O220" s="2"/>
    </row>
    <row r="221" spans="1:15">
      <c r="A221" s="2" t="s">
        <v>758</v>
      </c>
      <c r="B221" s="2" t="s">
        <v>721</v>
      </c>
      <c r="C221" s="2" t="s">
        <v>722</v>
      </c>
      <c r="D221" s="2" t="s">
        <v>18</v>
      </c>
      <c r="E221" s="2" t="s">
        <v>31</v>
      </c>
      <c r="F221" s="2" t="s">
        <v>20</v>
      </c>
      <c r="G221" s="2" t="s">
        <v>759</v>
      </c>
      <c r="H221" s="2" t="s">
        <v>760</v>
      </c>
      <c r="I221" s="2"/>
      <c r="J221" s="2" t="s">
        <v>23</v>
      </c>
      <c r="K221" s="2"/>
      <c r="L221" s="2"/>
      <c r="M221" s="2"/>
      <c r="N221" s="2"/>
      <c r="O221" s="2"/>
    </row>
    <row r="222" spans="1:15">
      <c r="A222" s="2" t="s">
        <v>761</v>
      </c>
      <c r="B222" s="2" t="s">
        <v>721</v>
      </c>
      <c r="C222" s="2" t="s">
        <v>722</v>
      </c>
      <c r="D222" s="2" t="s">
        <v>18</v>
      </c>
      <c r="E222" s="2" t="s">
        <v>31</v>
      </c>
      <c r="F222" s="2" t="s">
        <v>20</v>
      </c>
      <c r="G222" s="2" t="s">
        <v>762</v>
      </c>
      <c r="H222" s="2" t="s">
        <v>763</v>
      </c>
      <c r="I222" s="2"/>
      <c r="J222" s="2" t="s">
        <v>23</v>
      </c>
      <c r="K222" s="2"/>
      <c r="L222" s="2"/>
      <c r="M222" s="2"/>
      <c r="N222" s="2"/>
      <c r="O222" s="2"/>
    </row>
    <row r="223" spans="1:15" ht="28.8">
      <c r="A223" s="2" t="s">
        <v>764</v>
      </c>
      <c r="B223" s="2" t="s">
        <v>721</v>
      </c>
      <c r="C223" s="2" t="s">
        <v>722</v>
      </c>
      <c r="D223" s="2" t="s">
        <v>67</v>
      </c>
      <c r="E223" s="2" t="s">
        <v>31</v>
      </c>
      <c r="F223" s="2" t="s">
        <v>20</v>
      </c>
      <c r="G223" s="2" t="s">
        <v>765</v>
      </c>
      <c r="H223" s="2" t="s">
        <v>766</v>
      </c>
      <c r="I223" s="2"/>
      <c r="J223" s="2" t="s">
        <v>23</v>
      </c>
      <c r="K223" s="2"/>
      <c r="L223" s="2"/>
      <c r="M223" s="2"/>
      <c r="N223" s="2"/>
      <c r="O223" s="2"/>
    </row>
    <row r="224" spans="1:15">
      <c r="A224" s="2" t="s">
        <v>767</v>
      </c>
      <c r="B224" s="2" t="s">
        <v>721</v>
      </c>
      <c r="C224" s="2" t="s">
        <v>722</v>
      </c>
      <c r="D224" s="2" t="s">
        <v>50</v>
      </c>
      <c r="E224" s="2" t="s">
        <v>31</v>
      </c>
      <c r="F224" s="2" t="s">
        <v>20</v>
      </c>
      <c r="G224" s="2" t="s">
        <v>597</v>
      </c>
      <c r="H224" s="2" t="s">
        <v>768</v>
      </c>
      <c r="I224" s="2"/>
      <c r="J224" s="2" t="s">
        <v>23</v>
      </c>
      <c r="K224" s="2"/>
      <c r="L224" s="2"/>
      <c r="M224" s="2"/>
      <c r="N224" s="2"/>
      <c r="O224" s="2"/>
    </row>
    <row r="225" spans="1:15" ht="43.2">
      <c r="A225" s="2" t="s">
        <v>769</v>
      </c>
      <c r="B225" s="2" t="s">
        <v>770</v>
      </c>
      <c r="C225" s="2" t="s">
        <v>771</v>
      </c>
      <c r="D225" s="2" t="s">
        <v>18</v>
      </c>
      <c r="E225" s="2" t="s">
        <v>19</v>
      </c>
      <c r="F225" s="2" t="s">
        <v>20</v>
      </c>
      <c r="G225" s="2" t="s">
        <v>772</v>
      </c>
      <c r="H225" s="2" t="s">
        <v>773</v>
      </c>
      <c r="I225" s="2"/>
      <c r="J225" s="2" t="s">
        <v>23</v>
      </c>
      <c r="K225" s="2"/>
      <c r="L225" s="2"/>
      <c r="M225" s="2"/>
      <c r="N225" s="2"/>
      <c r="O225" s="2"/>
    </row>
    <row r="226" spans="1:15" ht="28.8">
      <c r="A226" s="2" t="s">
        <v>774</v>
      </c>
      <c r="B226" s="2" t="s">
        <v>770</v>
      </c>
      <c r="C226" s="2" t="s">
        <v>771</v>
      </c>
      <c r="D226" s="2" t="s">
        <v>18</v>
      </c>
      <c r="E226" s="2" t="s">
        <v>31</v>
      </c>
      <c r="F226" s="2" t="s">
        <v>20</v>
      </c>
      <c r="G226" s="2" t="s">
        <v>775</v>
      </c>
      <c r="H226" s="2" t="s">
        <v>776</v>
      </c>
      <c r="I226" s="2"/>
      <c r="J226" s="2" t="s">
        <v>23</v>
      </c>
      <c r="K226" s="2"/>
      <c r="L226" s="2"/>
      <c r="M226" s="2"/>
      <c r="N226" s="2"/>
      <c r="O226" s="2"/>
    </row>
    <row r="227" spans="1:15" ht="28.8">
      <c r="A227" s="2" t="s">
        <v>777</v>
      </c>
      <c r="B227" s="2" t="s">
        <v>770</v>
      </c>
      <c r="C227" s="2" t="s">
        <v>771</v>
      </c>
      <c r="D227" s="2" t="s">
        <v>18</v>
      </c>
      <c r="E227" s="2" t="s">
        <v>31</v>
      </c>
      <c r="F227" s="2" t="s">
        <v>20</v>
      </c>
      <c r="G227" s="2" t="s">
        <v>778</v>
      </c>
      <c r="H227" s="2" t="s">
        <v>779</v>
      </c>
      <c r="I227" s="2"/>
      <c r="J227" s="2" t="s">
        <v>23</v>
      </c>
      <c r="K227" s="2"/>
      <c r="L227" s="2"/>
      <c r="M227" s="2"/>
      <c r="N227" s="2"/>
      <c r="O227" s="2"/>
    </row>
    <row r="228" spans="1:15" ht="28.8">
      <c r="A228" s="2" t="s">
        <v>780</v>
      </c>
      <c r="B228" s="2" t="s">
        <v>770</v>
      </c>
      <c r="C228" s="2" t="s">
        <v>771</v>
      </c>
      <c r="D228" s="2" t="s">
        <v>18</v>
      </c>
      <c r="E228" s="2" t="s">
        <v>31</v>
      </c>
      <c r="F228" s="2" t="s">
        <v>20</v>
      </c>
      <c r="G228" s="2" t="s">
        <v>781</v>
      </c>
      <c r="H228" s="2" t="s">
        <v>782</v>
      </c>
      <c r="I228" s="2"/>
      <c r="J228" s="2" t="s">
        <v>23</v>
      </c>
      <c r="K228" s="2"/>
      <c r="L228" s="2"/>
      <c r="M228" s="2"/>
      <c r="N228" s="2"/>
      <c r="O228" s="2"/>
    </row>
    <row r="229" spans="1:15">
      <c r="A229" s="2" t="s">
        <v>783</v>
      </c>
      <c r="B229" s="2" t="s">
        <v>770</v>
      </c>
      <c r="C229" s="2" t="s">
        <v>771</v>
      </c>
      <c r="D229" s="2" t="s">
        <v>18</v>
      </c>
      <c r="E229" s="2" t="s">
        <v>31</v>
      </c>
      <c r="F229" s="2" t="s">
        <v>784</v>
      </c>
      <c r="G229" s="2" t="s">
        <v>785</v>
      </c>
      <c r="H229" s="2" t="s">
        <v>786</v>
      </c>
      <c r="I229" s="2"/>
      <c r="J229" s="2" t="s">
        <v>23</v>
      </c>
      <c r="K229" s="2"/>
      <c r="L229" s="2"/>
      <c r="M229" s="2"/>
      <c r="N229" s="2"/>
      <c r="O229" s="2"/>
    </row>
    <row r="230" spans="1:15">
      <c r="A230" s="2" t="s">
        <v>787</v>
      </c>
      <c r="B230" s="2" t="s">
        <v>770</v>
      </c>
      <c r="C230" s="2" t="s">
        <v>771</v>
      </c>
      <c r="D230" s="2" t="s">
        <v>18</v>
      </c>
      <c r="E230" s="2" t="s">
        <v>31</v>
      </c>
      <c r="F230" s="2" t="s">
        <v>20</v>
      </c>
      <c r="G230" s="2" t="s">
        <v>788</v>
      </c>
      <c r="H230" s="2" t="s">
        <v>789</v>
      </c>
      <c r="I230" s="2"/>
      <c r="J230" s="2" t="s">
        <v>23</v>
      </c>
      <c r="K230" s="2"/>
      <c r="L230" s="2"/>
      <c r="M230" s="2"/>
      <c r="N230" s="2"/>
      <c r="O230" s="2"/>
    </row>
    <row r="231" spans="1:15" ht="28.8">
      <c r="A231" s="2" t="s">
        <v>790</v>
      </c>
      <c r="B231" s="2" t="s">
        <v>770</v>
      </c>
      <c r="C231" s="2" t="s">
        <v>771</v>
      </c>
      <c r="D231" s="2" t="s">
        <v>106</v>
      </c>
      <c r="E231" s="2" t="s">
        <v>31</v>
      </c>
      <c r="F231" s="2" t="s">
        <v>20</v>
      </c>
      <c r="G231" s="2" t="s">
        <v>791</v>
      </c>
      <c r="H231" s="2" t="s">
        <v>792</v>
      </c>
      <c r="I231" s="2"/>
      <c r="J231" s="2" t="s">
        <v>23</v>
      </c>
      <c r="K231" s="2"/>
      <c r="L231" s="2"/>
      <c r="M231" s="2"/>
      <c r="N231" s="2"/>
      <c r="O231" s="2"/>
    </row>
    <row r="232" spans="1:15">
      <c r="A232" s="2" t="s">
        <v>793</v>
      </c>
      <c r="B232" s="2" t="s">
        <v>770</v>
      </c>
      <c r="C232" s="2" t="s">
        <v>771</v>
      </c>
      <c r="D232" s="2" t="s">
        <v>50</v>
      </c>
      <c r="E232" s="2" t="s">
        <v>46</v>
      </c>
      <c r="F232" s="2" t="s">
        <v>20</v>
      </c>
      <c r="G232" s="2" t="s">
        <v>597</v>
      </c>
      <c r="H232" s="2" t="s">
        <v>794</v>
      </c>
      <c r="I232" s="2"/>
      <c r="J232" s="2" t="s">
        <v>23</v>
      </c>
      <c r="K232" s="2"/>
      <c r="L232" s="2"/>
      <c r="M232" s="2"/>
      <c r="N232" s="2"/>
      <c r="O232" s="2"/>
    </row>
    <row r="233" spans="1:15">
      <c r="A233" s="2" t="s">
        <v>795</v>
      </c>
      <c r="B233" s="2" t="s">
        <v>796</v>
      </c>
      <c r="C233" s="2" t="s">
        <v>797</v>
      </c>
      <c r="D233" s="2" t="s">
        <v>106</v>
      </c>
      <c r="E233" s="2" t="s">
        <v>19</v>
      </c>
      <c r="F233" s="2" t="s">
        <v>20</v>
      </c>
      <c r="G233" s="2" t="s">
        <v>798</v>
      </c>
      <c r="H233" s="2" t="s">
        <v>799</v>
      </c>
      <c r="I233" s="2"/>
      <c r="J233" s="2" t="s">
        <v>23</v>
      </c>
      <c r="K233" s="2"/>
      <c r="L233" s="2"/>
      <c r="M233" s="2"/>
      <c r="N233" s="2"/>
      <c r="O233" s="2"/>
    </row>
    <row r="234" spans="1:15" ht="43.2">
      <c r="A234" s="2" t="s">
        <v>800</v>
      </c>
      <c r="B234" s="2" t="s">
        <v>796</v>
      </c>
      <c r="C234" s="2" t="s">
        <v>797</v>
      </c>
      <c r="D234" s="2" t="s">
        <v>18</v>
      </c>
      <c r="E234" s="2" t="s">
        <v>31</v>
      </c>
      <c r="F234" s="2" t="s">
        <v>801</v>
      </c>
      <c r="G234" s="2" t="s">
        <v>802</v>
      </c>
      <c r="H234" s="2" t="s">
        <v>803</v>
      </c>
      <c r="I234" s="2"/>
      <c r="J234" s="2" t="s">
        <v>23</v>
      </c>
      <c r="K234" s="2"/>
      <c r="L234" s="2"/>
      <c r="M234" s="2"/>
      <c r="N234" s="2"/>
      <c r="O234" s="2"/>
    </row>
    <row r="235" spans="1:15" ht="28.8">
      <c r="A235" s="2" t="s">
        <v>804</v>
      </c>
      <c r="B235" s="2" t="s">
        <v>796</v>
      </c>
      <c r="C235" s="2" t="s">
        <v>797</v>
      </c>
      <c r="D235" s="2" t="s">
        <v>18</v>
      </c>
      <c r="E235" s="2" t="s">
        <v>31</v>
      </c>
      <c r="F235" s="2" t="s">
        <v>805</v>
      </c>
      <c r="G235" s="2" t="s">
        <v>806</v>
      </c>
      <c r="H235" s="2" t="s">
        <v>807</v>
      </c>
      <c r="I235" s="2"/>
      <c r="J235" s="2" t="s">
        <v>23</v>
      </c>
      <c r="K235" s="2"/>
      <c r="L235" s="2"/>
      <c r="M235" s="2"/>
      <c r="N235" s="2"/>
      <c r="O235" s="2"/>
    </row>
    <row r="236" spans="1:15" ht="28.8">
      <c r="A236" s="2" t="s">
        <v>808</v>
      </c>
      <c r="B236" s="2" t="s">
        <v>796</v>
      </c>
      <c r="C236" s="2" t="s">
        <v>797</v>
      </c>
      <c r="D236" s="2" t="s">
        <v>18</v>
      </c>
      <c r="E236" s="2" t="s">
        <v>31</v>
      </c>
      <c r="F236" s="2" t="s">
        <v>809</v>
      </c>
      <c r="G236" s="2" t="s">
        <v>810</v>
      </c>
      <c r="H236" s="2" t="s">
        <v>811</v>
      </c>
      <c r="I236" s="2"/>
      <c r="J236" s="2" t="s">
        <v>23</v>
      </c>
      <c r="K236" s="2"/>
      <c r="L236" s="2"/>
      <c r="M236" s="2"/>
      <c r="N236" s="2"/>
      <c r="O236" s="2"/>
    </row>
    <row r="237" spans="1:15" ht="28.8">
      <c r="A237" s="2" t="s">
        <v>812</v>
      </c>
      <c r="B237" s="2" t="s">
        <v>813</v>
      </c>
      <c r="C237" s="2" t="s">
        <v>814</v>
      </c>
      <c r="D237" s="2" t="s">
        <v>18</v>
      </c>
      <c r="E237" s="2" t="s">
        <v>31</v>
      </c>
      <c r="F237" s="2" t="s">
        <v>20</v>
      </c>
      <c r="G237" s="2" t="s">
        <v>815</v>
      </c>
      <c r="H237" s="2" t="s">
        <v>816</v>
      </c>
      <c r="I237" s="2"/>
      <c r="J237" s="2" t="s">
        <v>23</v>
      </c>
      <c r="K237" s="2"/>
      <c r="L237" s="2"/>
      <c r="M237" s="2"/>
      <c r="N237" s="2"/>
      <c r="O237" s="2"/>
    </row>
    <row r="238" spans="1:15" ht="28.8">
      <c r="A238" s="2" t="s">
        <v>817</v>
      </c>
      <c r="B238" s="2" t="s">
        <v>813</v>
      </c>
      <c r="C238" s="2" t="s">
        <v>814</v>
      </c>
      <c r="D238" s="2" t="s">
        <v>18</v>
      </c>
      <c r="E238" s="2" t="s">
        <v>31</v>
      </c>
      <c r="F238" s="2" t="s">
        <v>20</v>
      </c>
      <c r="G238" s="2" t="s">
        <v>818</v>
      </c>
      <c r="H238" s="2" t="s">
        <v>819</v>
      </c>
      <c r="I238" s="2"/>
      <c r="J238" s="2" t="s">
        <v>23</v>
      </c>
      <c r="K238" s="2"/>
      <c r="L238" s="2"/>
      <c r="M238" s="2"/>
      <c r="N238" s="2"/>
      <c r="O238" s="2"/>
    </row>
    <row r="239" spans="1:15">
      <c r="A239" s="2" t="s">
        <v>820</v>
      </c>
      <c r="B239" s="2" t="s">
        <v>813</v>
      </c>
      <c r="C239" s="2" t="s">
        <v>814</v>
      </c>
      <c r="D239" s="2" t="s">
        <v>18</v>
      </c>
      <c r="E239" s="2" t="s">
        <v>31</v>
      </c>
      <c r="F239" s="2" t="s">
        <v>20</v>
      </c>
      <c r="G239" s="2" t="s">
        <v>821</v>
      </c>
      <c r="H239" s="2" t="s">
        <v>822</v>
      </c>
      <c r="I239" s="2"/>
      <c r="J239" s="2" t="s">
        <v>23</v>
      </c>
      <c r="K239" s="2"/>
      <c r="L239" s="2"/>
      <c r="M239" s="2"/>
      <c r="N239" s="2"/>
      <c r="O239" s="2"/>
    </row>
    <row r="240" spans="1:15" ht="28.8">
      <c r="A240" s="2" t="s">
        <v>823</v>
      </c>
      <c r="B240" s="2" t="s">
        <v>813</v>
      </c>
      <c r="C240" s="2" t="s">
        <v>814</v>
      </c>
      <c r="D240" s="2" t="s">
        <v>18</v>
      </c>
      <c r="E240" s="2" t="s">
        <v>46</v>
      </c>
      <c r="F240" s="2" t="s">
        <v>20</v>
      </c>
      <c r="G240" s="2" t="s">
        <v>824</v>
      </c>
      <c r="H240" s="2" t="s">
        <v>825</v>
      </c>
      <c r="I240" s="2"/>
      <c r="J240" s="2" t="s">
        <v>23</v>
      </c>
      <c r="K240" s="2"/>
      <c r="L240" s="2"/>
      <c r="M240" s="2"/>
      <c r="N240" s="2"/>
      <c r="O240" s="2"/>
    </row>
    <row r="241" spans="1:15">
      <c r="A241" s="2" t="s">
        <v>826</v>
      </c>
      <c r="B241" s="2" t="s">
        <v>813</v>
      </c>
      <c r="C241" s="2" t="s">
        <v>814</v>
      </c>
      <c r="D241" s="2" t="s">
        <v>18</v>
      </c>
      <c r="E241" s="2" t="s">
        <v>46</v>
      </c>
      <c r="F241" s="2" t="s">
        <v>20</v>
      </c>
      <c r="G241" s="2" t="s">
        <v>827</v>
      </c>
      <c r="H241" s="2" t="s">
        <v>828</v>
      </c>
      <c r="I241" s="2"/>
      <c r="J241" s="2" t="s">
        <v>23</v>
      </c>
      <c r="K241" s="2"/>
      <c r="L241" s="2"/>
      <c r="M241" s="2"/>
      <c r="N241" s="2"/>
      <c r="O241" s="2"/>
    </row>
    <row r="242" spans="1:15">
      <c r="A242" s="2" t="s">
        <v>829</v>
      </c>
      <c r="B242" s="2" t="s">
        <v>813</v>
      </c>
      <c r="C242" s="2" t="s">
        <v>814</v>
      </c>
      <c r="D242" s="2" t="s">
        <v>50</v>
      </c>
      <c r="E242" s="2" t="s">
        <v>46</v>
      </c>
      <c r="F242" s="2" t="s">
        <v>20</v>
      </c>
      <c r="G242" s="2" t="s">
        <v>597</v>
      </c>
      <c r="H242" s="2" t="s">
        <v>655</v>
      </c>
      <c r="I242" s="2"/>
      <c r="J242" s="2" t="s">
        <v>23</v>
      </c>
      <c r="K242" s="2"/>
      <c r="L242" s="2"/>
      <c r="M242" s="2"/>
      <c r="N242" s="2"/>
      <c r="O242" s="2"/>
    </row>
    <row r="243" spans="1:15" ht="28.8">
      <c r="A243" s="2" t="s">
        <v>830</v>
      </c>
      <c r="B243" s="2" t="s">
        <v>831</v>
      </c>
      <c r="C243" s="2" t="s">
        <v>832</v>
      </c>
      <c r="D243" s="2" t="s">
        <v>18</v>
      </c>
      <c r="E243" s="2" t="s">
        <v>19</v>
      </c>
      <c r="F243" s="2" t="s">
        <v>20</v>
      </c>
      <c r="G243" s="2" t="s">
        <v>833</v>
      </c>
      <c r="H243" s="2" t="s">
        <v>834</v>
      </c>
      <c r="I243" s="2"/>
      <c r="J243" s="2" t="s">
        <v>23</v>
      </c>
      <c r="K243" s="2"/>
      <c r="L243" s="2"/>
      <c r="M243" s="2"/>
      <c r="N243" s="2"/>
      <c r="O243" s="2"/>
    </row>
    <row r="244" spans="1:15" ht="28.8">
      <c r="A244" s="2" t="s">
        <v>835</v>
      </c>
      <c r="B244" s="2" t="s">
        <v>831</v>
      </c>
      <c r="C244" s="2" t="s">
        <v>832</v>
      </c>
      <c r="D244" s="2" t="s">
        <v>18</v>
      </c>
      <c r="E244" s="2" t="s">
        <v>31</v>
      </c>
      <c r="F244" s="2" t="s">
        <v>20</v>
      </c>
      <c r="G244" s="2" t="s">
        <v>836</v>
      </c>
      <c r="H244" s="2" t="s">
        <v>837</v>
      </c>
      <c r="I244" s="2"/>
      <c r="J244" s="2" t="s">
        <v>23</v>
      </c>
      <c r="K244" s="2"/>
      <c r="L244" s="2"/>
      <c r="M244" s="2"/>
      <c r="N244" s="2"/>
      <c r="O244" s="2"/>
    </row>
    <row r="245" spans="1:15" ht="28.8">
      <c r="A245" s="2" t="s">
        <v>838</v>
      </c>
      <c r="B245" s="2" t="s">
        <v>831</v>
      </c>
      <c r="C245" s="2" t="s">
        <v>832</v>
      </c>
      <c r="D245" s="2" t="s">
        <v>18</v>
      </c>
      <c r="E245" s="2" t="s">
        <v>31</v>
      </c>
      <c r="F245" s="2" t="s">
        <v>20</v>
      </c>
      <c r="G245" s="2" t="s">
        <v>839</v>
      </c>
      <c r="H245" s="2" t="s">
        <v>840</v>
      </c>
      <c r="I245" s="2"/>
      <c r="J245" s="2" t="s">
        <v>23</v>
      </c>
      <c r="K245" s="2"/>
      <c r="L245" s="2"/>
      <c r="M245" s="2"/>
      <c r="N245" s="2"/>
      <c r="O245" s="2"/>
    </row>
    <row r="246" spans="1:15" ht="28.8">
      <c r="A246" s="2" t="s">
        <v>841</v>
      </c>
      <c r="B246" s="2" t="s">
        <v>831</v>
      </c>
      <c r="C246" s="2" t="s">
        <v>832</v>
      </c>
      <c r="D246" s="2" t="s">
        <v>18</v>
      </c>
      <c r="E246" s="2" t="s">
        <v>31</v>
      </c>
      <c r="F246" s="2" t="s">
        <v>20</v>
      </c>
      <c r="G246" s="2" t="s">
        <v>842</v>
      </c>
      <c r="H246" s="2" t="s">
        <v>843</v>
      </c>
      <c r="I246" s="2"/>
      <c r="J246" s="2" t="s">
        <v>23</v>
      </c>
      <c r="K246" s="2"/>
      <c r="L246" s="2"/>
      <c r="M246" s="2"/>
      <c r="N246" s="2"/>
      <c r="O246" s="2"/>
    </row>
    <row r="247" spans="1:15" ht="28.8">
      <c r="A247" s="2" t="s">
        <v>844</v>
      </c>
      <c r="B247" s="2" t="s">
        <v>831</v>
      </c>
      <c r="C247" s="2" t="s">
        <v>832</v>
      </c>
      <c r="D247" s="2" t="s">
        <v>18</v>
      </c>
      <c r="E247" s="2" t="s">
        <v>46</v>
      </c>
      <c r="F247" s="2" t="s">
        <v>20</v>
      </c>
      <c r="G247" s="2" t="s">
        <v>845</v>
      </c>
      <c r="H247" s="2" t="s">
        <v>846</v>
      </c>
      <c r="I247" s="2"/>
      <c r="J247" s="2" t="s">
        <v>23</v>
      </c>
      <c r="K247" s="2"/>
      <c r="L247" s="2"/>
      <c r="M247" s="2"/>
      <c r="N247" s="2"/>
      <c r="O247" s="2"/>
    </row>
    <row r="248" spans="1:15" ht="28.8">
      <c r="A248" s="2" t="s">
        <v>847</v>
      </c>
      <c r="B248" s="2" t="s">
        <v>831</v>
      </c>
      <c r="C248" s="2" t="s">
        <v>832</v>
      </c>
      <c r="D248" s="2" t="s">
        <v>18</v>
      </c>
      <c r="E248" s="2" t="s">
        <v>31</v>
      </c>
      <c r="F248" s="2" t="s">
        <v>20</v>
      </c>
      <c r="G248" s="2" t="s">
        <v>848</v>
      </c>
      <c r="H248" s="2" t="s">
        <v>849</v>
      </c>
      <c r="I248" s="2"/>
      <c r="J248" s="2" t="s">
        <v>23</v>
      </c>
      <c r="K248" s="2"/>
      <c r="L248" s="2"/>
      <c r="M248" s="2"/>
      <c r="N248" s="2"/>
      <c r="O248" s="2"/>
    </row>
    <row r="249" spans="1:15" ht="28.8">
      <c r="A249" s="2" t="s">
        <v>850</v>
      </c>
      <c r="B249" s="2" t="s">
        <v>831</v>
      </c>
      <c r="C249" s="2" t="s">
        <v>832</v>
      </c>
      <c r="D249" s="2" t="s">
        <v>50</v>
      </c>
      <c r="E249" s="2" t="s">
        <v>46</v>
      </c>
      <c r="F249" s="2" t="s">
        <v>20</v>
      </c>
      <c r="G249" s="2" t="s">
        <v>597</v>
      </c>
      <c r="H249" s="2" t="s">
        <v>851</v>
      </c>
      <c r="I249" s="2"/>
      <c r="J249" s="2" t="s">
        <v>23</v>
      </c>
      <c r="K249" s="2"/>
      <c r="L249" s="2"/>
      <c r="M249" s="2"/>
      <c r="N249" s="2"/>
      <c r="O249" s="2"/>
    </row>
    <row r="250" spans="1:15" ht="57.6">
      <c r="A250" s="2" t="s">
        <v>852</v>
      </c>
      <c r="B250" s="2" t="s">
        <v>853</v>
      </c>
      <c r="C250" s="2" t="s">
        <v>854</v>
      </c>
      <c r="D250" s="2" t="s">
        <v>18</v>
      </c>
      <c r="E250" s="2" t="s">
        <v>19</v>
      </c>
      <c r="F250" s="2" t="s">
        <v>20</v>
      </c>
      <c r="G250" s="2" t="s">
        <v>855</v>
      </c>
      <c r="H250" s="2" t="s">
        <v>856</v>
      </c>
      <c r="I250" s="2"/>
      <c r="J250" s="2" t="s">
        <v>23</v>
      </c>
      <c r="K250" s="2"/>
      <c r="L250" s="2"/>
      <c r="M250" s="2"/>
      <c r="N250" s="2"/>
      <c r="O250" s="2"/>
    </row>
    <row r="251" spans="1:15" ht="43.2">
      <c r="A251" s="2" t="s">
        <v>857</v>
      </c>
      <c r="B251" s="2" t="s">
        <v>853</v>
      </c>
      <c r="C251" s="2" t="s">
        <v>854</v>
      </c>
      <c r="D251" s="2" t="s">
        <v>18</v>
      </c>
      <c r="E251" s="2" t="s">
        <v>19</v>
      </c>
      <c r="F251" s="2" t="s">
        <v>20</v>
      </c>
      <c r="G251" s="2" t="s">
        <v>858</v>
      </c>
      <c r="H251" s="2" t="s">
        <v>859</v>
      </c>
      <c r="I251" s="2"/>
      <c r="J251" s="2" t="s">
        <v>23</v>
      </c>
      <c r="K251" s="2"/>
      <c r="L251" s="2"/>
      <c r="M251" s="2"/>
      <c r="N251" s="2"/>
      <c r="O251" s="2"/>
    </row>
    <row r="252" spans="1:15" ht="28.8">
      <c r="A252" s="2" t="s">
        <v>860</v>
      </c>
      <c r="B252" s="2" t="s">
        <v>853</v>
      </c>
      <c r="C252" s="2" t="s">
        <v>854</v>
      </c>
      <c r="D252" s="2" t="s">
        <v>18</v>
      </c>
      <c r="E252" s="2" t="s">
        <v>31</v>
      </c>
      <c r="F252" s="2" t="s">
        <v>20</v>
      </c>
      <c r="G252" s="2" t="s">
        <v>861</v>
      </c>
      <c r="H252" s="2" t="s">
        <v>862</v>
      </c>
      <c r="I252" s="2"/>
      <c r="J252" s="2" t="s">
        <v>23</v>
      </c>
      <c r="K252" s="2"/>
      <c r="L252" s="2"/>
      <c r="M252" s="2"/>
      <c r="N252" s="2"/>
      <c r="O252" s="2"/>
    </row>
    <row r="253" spans="1:15" ht="28.8">
      <c r="A253" s="2" t="s">
        <v>863</v>
      </c>
      <c r="B253" s="2" t="s">
        <v>853</v>
      </c>
      <c r="C253" s="2" t="s">
        <v>854</v>
      </c>
      <c r="D253" s="2" t="s">
        <v>18</v>
      </c>
      <c r="E253" s="2" t="s">
        <v>31</v>
      </c>
      <c r="F253" s="2" t="s">
        <v>20</v>
      </c>
      <c r="G253" s="2" t="s">
        <v>864</v>
      </c>
      <c r="H253" s="2" t="s">
        <v>865</v>
      </c>
      <c r="I253" s="2"/>
      <c r="J253" s="2" t="s">
        <v>23</v>
      </c>
      <c r="K253" s="2"/>
      <c r="L253" s="2"/>
      <c r="M253" s="2"/>
      <c r="N253" s="2"/>
      <c r="O253" s="2"/>
    </row>
    <row r="254" spans="1:15">
      <c r="A254" s="2" t="s">
        <v>866</v>
      </c>
      <c r="B254" s="2" t="s">
        <v>853</v>
      </c>
      <c r="C254" s="2" t="s">
        <v>854</v>
      </c>
      <c r="D254" s="2" t="s">
        <v>18</v>
      </c>
      <c r="E254" s="2" t="s">
        <v>31</v>
      </c>
      <c r="F254" s="2" t="s">
        <v>20</v>
      </c>
      <c r="G254" s="2" t="s">
        <v>867</v>
      </c>
      <c r="H254" s="2" t="s">
        <v>868</v>
      </c>
      <c r="I254" s="2"/>
      <c r="J254" s="2" t="s">
        <v>23</v>
      </c>
      <c r="K254" s="2"/>
      <c r="L254" s="2"/>
      <c r="M254" s="2"/>
      <c r="N254" s="2"/>
      <c r="O254" s="2"/>
    </row>
    <row r="255" spans="1:15">
      <c r="A255" s="2" t="s">
        <v>869</v>
      </c>
      <c r="B255" s="2" t="s">
        <v>853</v>
      </c>
      <c r="C255" s="2" t="s">
        <v>854</v>
      </c>
      <c r="D255" s="2" t="s">
        <v>18</v>
      </c>
      <c r="E255" s="2" t="s">
        <v>31</v>
      </c>
      <c r="F255" s="2" t="s">
        <v>20</v>
      </c>
      <c r="G255" s="2" t="s">
        <v>870</v>
      </c>
      <c r="H255" s="2" t="s">
        <v>871</v>
      </c>
      <c r="I255" s="2"/>
      <c r="J255" s="2" t="s">
        <v>23</v>
      </c>
      <c r="K255" s="2"/>
      <c r="L255" s="2"/>
      <c r="M255" s="2"/>
      <c r="N255" s="2"/>
      <c r="O255" s="2"/>
    </row>
    <row r="256" spans="1:15" ht="28.8">
      <c r="A256" s="2" t="s">
        <v>872</v>
      </c>
      <c r="B256" s="2" t="s">
        <v>853</v>
      </c>
      <c r="C256" s="2" t="s">
        <v>854</v>
      </c>
      <c r="D256" s="2" t="s">
        <v>18</v>
      </c>
      <c r="E256" s="2" t="s">
        <v>46</v>
      </c>
      <c r="F256" s="2" t="s">
        <v>20</v>
      </c>
      <c r="G256" s="2" t="s">
        <v>873</v>
      </c>
      <c r="H256" s="2" t="s">
        <v>653</v>
      </c>
      <c r="I256" s="2"/>
      <c r="J256" s="2" t="s">
        <v>23</v>
      </c>
      <c r="K256" s="2"/>
      <c r="L256" s="2"/>
      <c r="M256" s="2"/>
      <c r="N256" s="2"/>
      <c r="O256" s="2"/>
    </row>
    <row r="257" spans="1:15" ht="28.8">
      <c r="A257" s="2" t="s">
        <v>874</v>
      </c>
      <c r="B257" s="2" t="s">
        <v>853</v>
      </c>
      <c r="C257" s="2" t="s">
        <v>854</v>
      </c>
      <c r="D257" s="2" t="s">
        <v>67</v>
      </c>
      <c r="E257" s="2" t="s">
        <v>31</v>
      </c>
      <c r="F257" s="2" t="s">
        <v>20</v>
      </c>
      <c r="G257" s="2" t="s">
        <v>875</v>
      </c>
      <c r="H257" s="2" t="s">
        <v>876</v>
      </c>
      <c r="I257" s="2"/>
      <c r="J257" s="2" t="s">
        <v>23</v>
      </c>
      <c r="K257" s="2"/>
      <c r="L257" s="2"/>
      <c r="M257" s="2"/>
      <c r="N257" s="2"/>
      <c r="O257" s="2"/>
    </row>
    <row r="258" spans="1:15" ht="28.8">
      <c r="A258" s="2" t="s">
        <v>877</v>
      </c>
      <c r="B258" s="2" t="s">
        <v>853</v>
      </c>
      <c r="C258" s="2" t="s">
        <v>854</v>
      </c>
      <c r="D258" s="2" t="s">
        <v>18</v>
      </c>
      <c r="E258" s="2" t="s">
        <v>46</v>
      </c>
      <c r="F258" s="2" t="s">
        <v>20</v>
      </c>
      <c r="G258" s="2" t="s">
        <v>878</v>
      </c>
      <c r="H258" s="2" t="s">
        <v>879</v>
      </c>
      <c r="I258" s="2"/>
      <c r="J258" s="2" t="s">
        <v>23</v>
      </c>
      <c r="K258" s="2"/>
      <c r="L258" s="2"/>
      <c r="M258" s="2"/>
      <c r="N258" s="2"/>
      <c r="O258" s="2"/>
    </row>
    <row r="259" spans="1:15" ht="28.8">
      <c r="A259" s="2" t="s">
        <v>880</v>
      </c>
      <c r="B259" s="2" t="s">
        <v>853</v>
      </c>
      <c r="C259" s="2" t="s">
        <v>854</v>
      </c>
      <c r="D259" s="2" t="s">
        <v>50</v>
      </c>
      <c r="E259" s="2" t="s">
        <v>31</v>
      </c>
      <c r="F259" s="2" t="s">
        <v>20</v>
      </c>
      <c r="G259" s="2" t="s">
        <v>597</v>
      </c>
      <c r="H259" s="2" t="s">
        <v>881</v>
      </c>
      <c r="I259" s="2"/>
      <c r="J259" s="2" t="s">
        <v>23</v>
      </c>
      <c r="K259" s="2"/>
      <c r="L259" s="2"/>
      <c r="M259" s="2"/>
      <c r="N259" s="2"/>
      <c r="O259" s="2"/>
    </row>
    <row r="260" spans="1:15" ht="28.8">
      <c r="A260" s="2" t="s">
        <v>882</v>
      </c>
      <c r="B260" s="2" t="s">
        <v>883</v>
      </c>
      <c r="C260" s="2" t="s">
        <v>884</v>
      </c>
      <c r="D260" s="2" t="s">
        <v>18</v>
      </c>
      <c r="E260" s="2" t="s">
        <v>19</v>
      </c>
      <c r="F260" s="2" t="s">
        <v>20</v>
      </c>
      <c r="G260" s="2" t="s">
        <v>885</v>
      </c>
      <c r="H260" s="2" t="s">
        <v>886</v>
      </c>
      <c r="I260" s="2"/>
      <c r="J260" s="2" t="s">
        <v>23</v>
      </c>
      <c r="K260" s="2"/>
      <c r="L260" s="2"/>
      <c r="M260" s="2"/>
      <c r="N260" s="2"/>
      <c r="O260" s="2"/>
    </row>
    <row r="261" spans="1:15" ht="28.8">
      <c r="A261" s="2" t="s">
        <v>887</v>
      </c>
      <c r="B261" s="2" t="s">
        <v>883</v>
      </c>
      <c r="C261" s="2" t="s">
        <v>884</v>
      </c>
      <c r="D261" s="2" t="s">
        <v>18</v>
      </c>
      <c r="E261" s="2" t="s">
        <v>31</v>
      </c>
      <c r="F261" s="2" t="s">
        <v>20</v>
      </c>
      <c r="G261" s="2" t="s">
        <v>888</v>
      </c>
      <c r="H261" s="2" t="s">
        <v>889</v>
      </c>
      <c r="I261" s="2"/>
      <c r="J261" s="2" t="s">
        <v>23</v>
      </c>
      <c r="K261" s="2"/>
      <c r="L261" s="2"/>
      <c r="M261" s="2"/>
      <c r="N261" s="2"/>
      <c r="O261" s="2"/>
    </row>
    <row r="262" spans="1:15" ht="28.8">
      <c r="A262" s="2" t="s">
        <v>890</v>
      </c>
      <c r="B262" s="2" t="s">
        <v>883</v>
      </c>
      <c r="C262" s="2" t="s">
        <v>884</v>
      </c>
      <c r="D262" s="2" t="s">
        <v>18</v>
      </c>
      <c r="E262" s="2" t="s">
        <v>31</v>
      </c>
      <c r="F262" s="2" t="s">
        <v>20</v>
      </c>
      <c r="G262" s="2" t="s">
        <v>891</v>
      </c>
      <c r="H262" s="2" t="s">
        <v>892</v>
      </c>
      <c r="I262" s="2"/>
      <c r="J262" s="2" t="s">
        <v>23</v>
      </c>
      <c r="K262" s="2"/>
      <c r="L262" s="2"/>
      <c r="M262" s="2"/>
      <c r="N262" s="2"/>
      <c r="O262" s="2"/>
    </row>
    <row r="263" spans="1:15">
      <c r="A263" s="2" t="s">
        <v>893</v>
      </c>
      <c r="B263" s="2" t="s">
        <v>883</v>
      </c>
      <c r="C263" s="2" t="s">
        <v>884</v>
      </c>
      <c r="D263" s="2" t="s">
        <v>18</v>
      </c>
      <c r="E263" s="2" t="s">
        <v>31</v>
      </c>
      <c r="F263" s="2" t="s">
        <v>20</v>
      </c>
      <c r="G263" s="2" t="s">
        <v>894</v>
      </c>
      <c r="H263" s="2" t="s">
        <v>895</v>
      </c>
      <c r="I263" s="2"/>
      <c r="J263" s="2" t="s">
        <v>23</v>
      </c>
      <c r="K263" s="2"/>
      <c r="L263" s="2"/>
      <c r="M263" s="2"/>
      <c r="N263" s="2"/>
      <c r="O263" s="2"/>
    </row>
    <row r="264" spans="1:15">
      <c r="A264" s="2" t="s">
        <v>896</v>
      </c>
      <c r="B264" s="2" t="s">
        <v>883</v>
      </c>
      <c r="C264" s="2" t="s">
        <v>884</v>
      </c>
      <c r="D264" s="2" t="s">
        <v>18</v>
      </c>
      <c r="E264" s="2" t="s">
        <v>31</v>
      </c>
      <c r="F264" s="2" t="s">
        <v>20</v>
      </c>
      <c r="G264" s="2" t="s">
        <v>897</v>
      </c>
      <c r="H264" s="2" t="s">
        <v>898</v>
      </c>
      <c r="I264" s="2"/>
      <c r="J264" s="2" t="s">
        <v>23</v>
      </c>
      <c r="K264" s="2"/>
      <c r="L264" s="2"/>
      <c r="M264" s="2"/>
      <c r="N264" s="2"/>
      <c r="O264" s="2"/>
    </row>
    <row r="265" spans="1:15">
      <c r="A265" s="2" t="s">
        <v>899</v>
      </c>
      <c r="B265" s="2" t="s">
        <v>883</v>
      </c>
      <c r="C265" s="2" t="s">
        <v>884</v>
      </c>
      <c r="D265" s="2" t="s">
        <v>67</v>
      </c>
      <c r="E265" s="2" t="s">
        <v>46</v>
      </c>
      <c r="F265" s="2" t="s">
        <v>20</v>
      </c>
      <c r="G265" s="2" t="s">
        <v>900</v>
      </c>
      <c r="H265" s="2" t="s">
        <v>901</v>
      </c>
      <c r="I265" s="2"/>
      <c r="J265" s="2" t="s">
        <v>23</v>
      </c>
      <c r="K265" s="2"/>
      <c r="L265" s="2"/>
      <c r="M265" s="2"/>
      <c r="N265" s="2"/>
      <c r="O265" s="2"/>
    </row>
    <row r="266" spans="1:15">
      <c r="A266" s="2" t="s">
        <v>902</v>
      </c>
      <c r="B266" s="2" t="s">
        <v>883</v>
      </c>
      <c r="C266" s="2" t="s">
        <v>884</v>
      </c>
      <c r="D266" s="2" t="s">
        <v>50</v>
      </c>
      <c r="E266" s="2" t="s">
        <v>46</v>
      </c>
      <c r="F266" s="2" t="s">
        <v>20</v>
      </c>
      <c r="G266" s="2" t="s">
        <v>597</v>
      </c>
      <c r="H266" s="2" t="s">
        <v>903</v>
      </c>
      <c r="I266" s="2"/>
      <c r="J266" s="2" t="s">
        <v>23</v>
      </c>
      <c r="K266" s="2"/>
      <c r="L266" s="2"/>
      <c r="M266" s="2"/>
      <c r="N266" s="2"/>
      <c r="O266" s="2"/>
    </row>
    <row r="267" spans="1:15" ht="43.2">
      <c r="A267" s="2" t="s">
        <v>904</v>
      </c>
      <c r="B267" s="2" t="s">
        <v>905</v>
      </c>
      <c r="C267" s="2" t="s">
        <v>906</v>
      </c>
      <c r="D267" s="2" t="s">
        <v>18</v>
      </c>
      <c r="E267" s="2" t="s">
        <v>46</v>
      </c>
      <c r="F267" s="2" t="s">
        <v>20</v>
      </c>
      <c r="G267" s="2" t="s">
        <v>907</v>
      </c>
      <c r="H267" s="2" t="s">
        <v>908</v>
      </c>
      <c r="I267" s="2"/>
      <c r="J267" s="2" t="s">
        <v>23</v>
      </c>
      <c r="K267" s="2"/>
      <c r="L267" s="2"/>
      <c r="M267" s="2"/>
      <c r="N267" s="2"/>
      <c r="O267" s="2"/>
    </row>
    <row r="268" spans="1:15" ht="28.8">
      <c r="A268" s="2" t="s">
        <v>909</v>
      </c>
      <c r="B268" s="2" t="s">
        <v>905</v>
      </c>
      <c r="C268" s="2" t="s">
        <v>906</v>
      </c>
      <c r="D268" s="2" t="s">
        <v>18</v>
      </c>
      <c r="E268" s="2" t="s">
        <v>46</v>
      </c>
      <c r="F268" s="2" t="s">
        <v>20</v>
      </c>
      <c r="G268" s="2" t="s">
        <v>910</v>
      </c>
      <c r="H268" s="2" t="s">
        <v>653</v>
      </c>
      <c r="I268" s="2"/>
      <c r="J268" s="2" t="s">
        <v>23</v>
      </c>
      <c r="K268" s="2"/>
      <c r="L268" s="2"/>
      <c r="M268" s="2"/>
      <c r="N268" s="2"/>
      <c r="O268" s="2"/>
    </row>
    <row r="269" spans="1:15" ht="43.2">
      <c r="A269" s="2" t="s">
        <v>911</v>
      </c>
      <c r="B269" s="2" t="s">
        <v>912</v>
      </c>
      <c r="C269" s="2" t="s">
        <v>913</v>
      </c>
      <c r="D269" s="2" t="s">
        <v>18</v>
      </c>
      <c r="E269" s="2" t="s">
        <v>31</v>
      </c>
      <c r="F269" s="2" t="s">
        <v>20</v>
      </c>
      <c r="G269" s="2" t="s">
        <v>914</v>
      </c>
      <c r="H269" s="2" t="s">
        <v>915</v>
      </c>
      <c r="I269" s="2"/>
      <c r="J269" s="2" t="s">
        <v>23</v>
      </c>
      <c r="K269" s="2"/>
      <c r="L269" s="2"/>
      <c r="M269" s="2"/>
      <c r="N269" s="2"/>
      <c r="O269" s="2"/>
    </row>
    <row r="270" spans="1:15">
      <c r="A270" s="2" t="s">
        <v>916</v>
      </c>
      <c r="B270" s="2" t="s">
        <v>912</v>
      </c>
      <c r="C270" s="2" t="s">
        <v>917</v>
      </c>
      <c r="D270" s="2" t="s">
        <v>106</v>
      </c>
      <c r="E270" s="2" t="s">
        <v>19</v>
      </c>
      <c r="F270" s="2" t="s">
        <v>20</v>
      </c>
      <c r="G270" s="2" t="s">
        <v>918</v>
      </c>
      <c r="H270" s="2" t="s">
        <v>919</v>
      </c>
      <c r="I270" s="2"/>
      <c r="J270" s="2" t="s">
        <v>23</v>
      </c>
      <c r="K270" s="2"/>
      <c r="L270" s="2"/>
      <c r="M270" s="2"/>
      <c r="N270" s="2"/>
      <c r="O270" s="2"/>
    </row>
    <row r="271" spans="1:15" ht="28.8">
      <c r="A271" s="2" t="s">
        <v>920</v>
      </c>
      <c r="B271" s="2" t="s">
        <v>912</v>
      </c>
      <c r="C271" s="2" t="s">
        <v>91</v>
      </c>
      <c r="D271" s="2" t="s">
        <v>106</v>
      </c>
      <c r="E271" s="2" t="s">
        <v>31</v>
      </c>
      <c r="F271" s="2" t="s">
        <v>20</v>
      </c>
      <c r="G271" s="2" t="s">
        <v>921</v>
      </c>
      <c r="H271" s="2" t="s">
        <v>922</v>
      </c>
      <c r="I271" s="2"/>
      <c r="J271" s="2" t="s">
        <v>23</v>
      </c>
      <c r="K271" s="2"/>
      <c r="L271" s="2"/>
      <c r="M271" s="2"/>
      <c r="N271" s="2"/>
      <c r="O271" s="2"/>
    </row>
    <row r="272" spans="1:15" ht="28.8">
      <c r="A272" s="2" t="s">
        <v>923</v>
      </c>
      <c r="B272" s="2" t="s">
        <v>912</v>
      </c>
      <c r="C272" s="2" t="s">
        <v>91</v>
      </c>
      <c r="D272" s="2" t="s">
        <v>106</v>
      </c>
      <c r="E272" s="2" t="s">
        <v>31</v>
      </c>
      <c r="F272" s="2" t="s">
        <v>20</v>
      </c>
      <c r="G272" s="2" t="s">
        <v>924</v>
      </c>
      <c r="H272" s="2" t="s">
        <v>925</v>
      </c>
      <c r="I272" s="2"/>
      <c r="J272" s="2" t="s">
        <v>23</v>
      </c>
      <c r="K272" s="2"/>
      <c r="L272" s="2"/>
      <c r="M272" s="2"/>
      <c r="N272" s="2"/>
      <c r="O272" s="2"/>
    </row>
    <row r="273" spans="1:15" ht="43.2">
      <c r="A273" s="2" t="s">
        <v>926</v>
      </c>
      <c r="B273" s="2" t="s">
        <v>912</v>
      </c>
      <c r="C273" s="2" t="s">
        <v>91</v>
      </c>
      <c r="D273" s="2" t="s">
        <v>18</v>
      </c>
      <c r="E273" s="2" t="s">
        <v>31</v>
      </c>
      <c r="F273" s="2" t="s">
        <v>20</v>
      </c>
      <c r="G273" s="2" t="s">
        <v>927</v>
      </c>
      <c r="H273" s="2" t="s">
        <v>928</v>
      </c>
      <c r="I273" s="2"/>
      <c r="J273" s="2" t="s">
        <v>23</v>
      </c>
      <c r="K273" s="2"/>
      <c r="L273" s="2"/>
      <c r="M273" s="2"/>
      <c r="N273" s="2"/>
      <c r="O273" s="2"/>
    </row>
    <row r="274" spans="1:15" ht="28.8">
      <c r="A274" s="2" t="s">
        <v>929</v>
      </c>
      <c r="B274" s="2" t="s">
        <v>912</v>
      </c>
      <c r="C274" s="2" t="s">
        <v>91</v>
      </c>
      <c r="D274" s="2" t="s">
        <v>57</v>
      </c>
      <c r="E274" s="2" t="s">
        <v>31</v>
      </c>
      <c r="F274" s="2" t="s">
        <v>20</v>
      </c>
      <c r="G274" s="2" t="s">
        <v>930</v>
      </c>
      <c r="H274" s="2" t="s">
        <v>931</v>
      </c>
      <c r="I274" s="2"/>
      <c r="J274" s="2" t="s">
        <v>23</v>
      </c>
      <c r="K274" s="2"/>
      <c r="L274" s="2"/>
      <c r="M274" s="2"/>
      <c r="N274" s="2"/>
      <c r="O274" s="2"/>
    </row>
    <row r="275" spans="1:15" ht="28.8">
      <c r="A275" s="2" t="s">
        <v>932</v>
      </c>
      <c r="B275" s="2" t="s">
        <v>912</v>
      </c>
      <c r="C275" s="2" t="s">
        <v>933</v>
      </c>
      <c r="D275" s="2" t="s">
        <v>18</v>
      </c>
      <c r="E275" s="2" t="s">
        <v>31</v>
      </c>
      <c r="F275" s="2" t="s">
        <v>20</v>
      </c>
      <c r="G275" s="2" t="s">
        <v>934</v>
      </c>
      <c r="H275" s="2" t="s">
        <v>935</v>
      </c>
      <c r="I275" s="2"/>
      <c r="J275" s="2" t="s">
        <v>23</v>
      </c>
      <c r="K275" s="2"/>
      <c r="L275" s="2"/>
      <c r="M275" s="2"/>
      <c r="N275" s="2"/>
      <c r="O275" s="2"/>
    </row>
    <row r="276" spans="1:15">
      <c r="A276" s="2" t="s">
        <v>936</v>
      </c>
      <c r="B276" s="2" t="s">
        <v>912</v>
      </c>
      <c r="C276" s="2" t="s">
        <v>91</v>
      </c>
      <c r="D276" s="2" t="s">
        <v>18</v>
      </c>
      <c r="E276" s="2" t="s">
        <v>46</v>
      </c>
      <c r="F276" s="2" t="s">
        <v>20</v>
      </c>
      <c r="G276" s="2" t="s">
        <v>937</v>
      </c>
      <c r="H276" s="2" t="s">
        <v>938</v>
      </c>
      <c r="I276" s="2"/>
      <c r="J276" s="2" t="s">
        <v>23</v>
      </c>
      <c r="K276" s="2"/>
      <c r="L276" s="2"/>
      <c r="M276" s="2"/>
      <c r="N276" s="2"/>
      <c r="O276" s="2"/>
    </row>
  </sheetData>
  <autoFilter ref="A1:O276" xr:uid="{00000000-0009-0000-0000-000000000000}"/>
  <conditionalFormatting sqref="J2:J276">
    <cfRule type="cellIs" dxfId="3" priority="1" operator="equal">
      <formula>"Pass"</formula>
    </cfRule>
    <cfRule type="cellIs" dxfId="2" priority="2" operator="equal">
      <formula>"Fail"</formula>
    </cfRule>
    <cfRule type="cellIs" dxfId="1" priority="3" operator="equal">
      <formula>"Blocked"</formula>
    </cfRule>
    <cfRule type="cellIs" dxfId="0" priority="4" operator="equal">
      <formula>"Skipped"</formula>
    </cfRule>
  </conditionalFormatting>
  <dataValidations count="1">
    <dataValidation type="list" sqref="J2:J276" xr:uid="{00000000-0002-0000-0000-000000000000}">
      <formula1>"Not Run,Pass,Fail,Blocked,Skipped"</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workbookViewId="0"/>
  </sheetViews>
  <sheetFormatPr defaultRowHeight="14.4"/>
  <cols>
    <col min="1" max="1" width="34" customWidth="1"/>
    <col min="2" max="8" width="11" customWidth="1"/>
  </cols>
  <sheetData>
    <row r="1" spans="1:8">
      <c r="A1" s="3" t="s">
        <v>1</v>
      </c>
      <c r="B1" s="3" t="s">
        <v>939</v>
      </c>
      <c r="C1" s="3" t="s">
        <v>940</v>
      </c>
      <c r="D1" s="3" t="s">
        <v>941</v>
      </c>
      <c r="E1" s="3" t="s">
        <v>942</v>
      </c>
      <c r="F1" s="3" t="s">
        <v>943</v>
      </c>
      <c r="G1" s="3" t="s">
        <v>23</v>
      </c>
      <c r="H1" s="3" t="s">
        <v>944</v>
      </c>
    </row>
    <row r="2" spans="1:8">
      <c r="A2" t="s">
        <v>16</v>
      </c>
      <c r="B2">
        <f>COUNTIF('Test Cases'!B:B,A2)</f>
        <v>12</v>
      </c>
      <c r="C2">
        <f>COUNTIFS('Test Cases'!B:B,$A2,'Test Cases'!J:J,"Pass")</f>
        <v>10</v>
      </c>
      <c r="D2">
        <f>COUNTIFS('Test Cases'!B:B,$A2,'Test Cases'!J:J,"Fail")</f>
        <v>0</v>
      </c>
      <c r="E2">
        <f>COUNTIFS('Test Cases'!B:B,$A2,'Test Cases'!J:J,"Blocked")</f>
        <v>0</v>
      </c>
      <c r="F2">
        <f>COUNTIFS('Test Cases'!B:B,$A2,'Test Cases'!J:J,"Skipped")</f>
        <v>2</v>
      </c>
      <c r="G2">
        <f>COUNTIFS('Test Cases'!B:B,$A2,'Test Cases'!J:J,"Not Run")</f>
        <v>0</v>
      </c>
      <c r="H2" s="4">
        <f t="shared" ref="H2:H27" si="0">IF(B2=0,0,(B2-G2)/B2)</f>
        <v>1</v>
      </c>
    </row>
    <row r="3" spans="1:8">
      <c r="A3" t="s">
        <v>65</v>
      </c>
      <c r="B3">
        <f>COUNTIF('Test Cases'!B:B,A3)</f>
        <v>16</v>
      </c>
      <c r="C3">
        <f>COUNTIFS('Test Cases'!B:B,$A3,'Test Cases'!J:J,"Pass")</f>
        <v>15</v>
      </c>
      <c r="D3">
        <f>COUNTIFS('Test Cases'!B:B,$A3,'Test Cases'!J:J,"Fail")</f>
        <v>0</v>
      </c>
      <c r="E3">
        <f>COUNTIFS('Test Cases'!B:B,$A3,'Test Cases'!J:J,"Blocked")</f>
        <v>0</v>
      </c>
      <c r="F3">
        <f>COUNTIFS('Test Cases'!B:B,$A3,'Test Cases'!J:J,"Skipped")</f>
        <v>1</v>
      </c>
      <c r="G3">
        <f>COUNTIFS('Test Cases'!B:B,$A3,'Test Cases'!J:J,"Not Run")</f>
        <v>0</v>
      </c>
      <c r="H3" s="4">
        <f t="shared" si="0"/>
        <v>1</v>
      </c>
    </row>
    <row r="4" spans="1:8">
      <c r="A4" t="s">
        <v>127</v>
      </c>
      <c r="B4">
        <f>COUNTIF('Test Cases'!B:B,A4)</f>
        <v>32</v>
      </c>
      <c r="C4">
        <f>COUNTIFS('Test Cases'!B:B,$A4,'Test Cases'!J:J,"Pass")</f>
        <v>26</v>
      </c>
      <c r="D4">
        <f>COUNTIFS('Test Cases'!B:B,$A4,'Test Cases'!J:J,"Fail")</f>
        <v>2</v>
      </c>
      <c r="E4">
        <f>COUNTIFS('Test Cases'!B:B,$A4,'Test Cases'!J:J,"Blocked")</f>
        <v>0</v>
      </c>
      <c r="F4">
        <f>COUNTIFS('Test Cases'!B:B,$A4,'Test Cases'!J:J,"Skipped")</f>
        <v>0</v>
      </c>
      <c r="G4">
        <f>COUNTIFS('Test Cases'!B:B,$A4,'Test Cases'!J:J,"Not Run")</f>
        <v>4</v>
      </c>
      <c r="H4" s="4">
        <f t="shared" si="0"/>
        <v>0.875</v>
      </c>
    </row>
    <row r="5" spans="1:8">
      <c r="A5" t="s">
        <v>231</v>
      </c>
      <c r="B5">
        <f>COUNTIF('Test Cases'!B:B,A5)</f>
        <v>31</v>
      </c>
      <c r="C5">
        <f>COUNTIFS('Test Cases'!B:B,$A5,'Test Cases'!J:J,"Pass")</f>
        <v>0</v>
      </c>
      <c r="D5">
        <f>COUNTIFS('Test Cases'!B:B,$A5,'Test Cases'!J:J,"Fail")</f>
        <v>0</v>
      </c>
      <c r="E5">
        <f>COUNTIFS('Test Cases'!B:B,$A5,'Test Cases'!J:J,"Blocked")</f>
        <v>0</v>
      </c>
      <c r="F5">
        <f>COUNTIFS('Test Cases'!B:B,$A5,'Test Cases'!J:J,"Skipped")</f>
        <v>0</v>
      </c>
      <c r="G5">
        <f>COUNTIFS('Test Cases'!B:B,$A5,'Test Cases'!J:J,"Not Run")</f>
        <v>31</v>
      </c>
      <c r="H5" s="4">
        <f t="shared" si="0"/>
        <v>0</v>
      </c>
    </row>
    <row r="6" spans="1:8">
      <c r="A6" t="s">
        <v>326</v>
      </c>
      <c r="B6">
        <f>COUNTIF('Test Cases'!B:B,A6)</f>
        <v>11</v>
      </c>
      <c r="C6">
        <f>COUNTIFS('Test Cases'!B:B,$A6,'Test Cases'!J:J,"Pass")</f>
        <v>0</v>
      </c>
      <c r="D6">
        <f>COUNTIFS('Test Cases'!B:B,$A6,'Test Cases'!J:J,"Fail")</f>
        <v>0</v>
      </c>
      <c r="E6">
        <f>COUNTIFS('Test Cases'!B:B,$A6,'Test Cases'!J:J,"Blocked")</f>
        <v>0</v>
      </c>
      <c r="F6">
        <f>COUNTIFS('Test Cases'!B:B,$A6,'Test Cases'!J:J,"Skipped")</f>
        <v>0</v>
      </c>
      <c r="G6">
        <f>COUNTIFS('Test Cases'!B:B,$A6,'Test Cases'!J:J,"Not Run")</f>
        <v>11</v>
      </c>
      <c r="H6" s="4">
        <f t="shared" si="0"/>
        <v>0</v>
      </c>
    </row>
    <row r="7" spans="1:8">
      <c r="A7" t="s">
        <v>368</v>
      </c>
      <c r="B7">
        <f>COUNTIF('Test Cases'!B:B,A7)</f>
        <v>10</v>
      </c>
      <c r="C7">
        <f>COUNTIFS('Test Cases'!B:B,$A7,'Test Cases'!J:J,"Pass")</f>
        <v>0</v>
      </c>
      <c r="D7">
        <f>COUNTIFS('Test Cases'!B:B,$A7,'Test Cases'!J:J,"Fail")</f>
        <v>0</v>
      </c>
      <c r="E7">
        <f>COUNTIFS('Test Cases'!B:B,$A7,'Test Cases'!J:J,"Blocked")</f>
        <v>0</v>
      </c>
      <c r="F7">
        <f>COUNTIFS('Test Cases'!B:B,$A7,'Test Cases'!J:J,"Skipped")</f>
        <v>0</v>
      </c>
      <c r="G7">
        <f>COUNTIFS('Test Cases'!B:B,$A7,'Test Cases'!J:J,"Not Run")</f>
        <v>10</v>
      </c>
      <c r="H7" s="4">
        <f t="shared" si="0"/>
        <v>0</v>
      </c>
    </row>
    <row r="8" spans="1:8">
      <c r="A8" t="s">
        <v>404</v>
      </c>
      <c r="B8">
        <f>COUNTIF('Test Cases'!B:B,A8)</f>
        <v>9</v>
      </c>
      <c r="C8">
        <f>COUNTIFS('Test Cases'!B:B,$A8,'Test Cases'!J:J,"Pass")</f>
        <v>0</v>
      </c>
      <c r="D8">
        <f>COUNTIFS('Test Cases'!B:B,$A8,'Test Cases'!J:J,"Fail")</f>
        <v>0</v>
      </c>
      <c r="E8">
        <f>COUNTIFS('Test Cases'!B:B,$A8,'Test Cases'!J:J,"Blocked")</f>
        <v>0</v>
      </c>
      <c r="F8">
        <f>COUNTIFS('Test Cases'!B:B,$A8,'Test Cases'!J:J,"Skipped")</f>
        <v>0</v>
      </c>
      <c r="G8">
        <f>COUNTIFS('Test Cases'!B:B,$A8,'Test Cases'!J:J,"Not Run")</f>
        <v>9</v>
      </c>
      <c r="H8" s="4">
        <f t="shared" si="0"/>
        <v>0</v>
      </c>
    </row>
    <row r="9" spans="1:8">
      <c r="A9" t="s">
        <v>436</v>
      </c>
      <c r="B9">
        <f>COUNTIF('Test Cases'!B:B,A9)</f>
        <v>6</v>
      </c>
      <c r="C9">
        <f>COUNTIFS('Test Cases'!B:B,$A9,'Test Cases'!J:J,"Pass")</f>
        <v>0</v>
      </c>
      <c r="D9">
        <f>COUNTIFS('Test Cases'!B:B,$A9,'Test Cases'!J:J,"Fail")</f>
        <v>0</v>
      </c>
      <c r="E9">
        <f>COUNTIFS('Test Cases'!B:B,$A9,'Test Cases'!J:J,"Blocked")</f>
        <v>0</v>
      </c>
      <c r="F9">
        <f>COUNTIFS('Test Cases'!B:B,$A9,'Test Cases'!J:J,"Skipped")</f>
        <v>0</v>
      </c>
      <c r="G9">
        <f>COUNTIFS('Test Cases'!B:B,$A9,'Test Cases'!J:J,"Not Run")</f>
        <v>6</v>
      </c>
      <c r="H9" s="4">
        <f t="shared" si="0"/>
        <v>0</v>
      </c>
    </row>
    <row r="10" spans="1:8">
      <c r="A10" t="s">
        <v>456</v>
      </c>
      <c r="B10">
        <f>COUNTIF('Test Cases'!B:B,A10)</f>
        <v>9</v>
      </c>
      <c r="C10">
        <f>COUNTIFS('Test Cases'!B:B,$A10,'Test Cases'!J:J,"Pass")</f>
        <v>0</v>
      </c>
      <c r="D10">
        <f>COUNTIFS('Test Cases'!B:B,$A10,'Test Cases'!J:J,"Fail")</f>
        <v>0</v>
      </c>
      <c r="E10">
        <f>COUNTIFS('Test Cases'!B:B,$A10,'Test Cases'!J:J,"Blocked")</f>
        <v>0</v>
      </c>
      <c r="F10">
        <f>COUNTIFS('Test Cases'!B:B,$A10,'Test Cases'!J:J,"Skipped")</f>
        <v>0</v>
      </c>
      <c r="G10">
        <f>COUNTIFS('Test Cases'!B:B,$A10,'Test Cases'!J:J,"Not Run")</f>
        <v>9</v>
      </c>
      <c r="H10" s="4">
        <f t="shared" si="0"/>
        <v>0</v>
      </c>
    </row>
    <row r="11" spans="1:8">
      <c r="A11" t="s">
        <v>489</v>
      </c>
      <c r="B11">
        <f>COUNTIF('Test Cases'!B:B,A11)</f>
        <v>24</v>
      </c>
      <c r="C11">
        <f>COUNTIFS('Test Cases'!B:B,$A11,'Test Cases'!J:J,"Pass")</f>
        <v>0</v>
      </c>
      <c r="D11">
        <f>COUNTIFS('Test Cases'!B:B,$A11,'Test Cases'!J:J,"Fail")</f>
        <v>0</v>
      </c>
      <c r="E11">
        <f>COUNTIFS('Test Cases'!B:B,$A11,'Test Cases'!J:J,"Blocked")</f>
        <v>0</v>
      </c>
      <c r="F11">
        <f>COUNTIFS('Test Cases'!B:B,$A11,'Test Cases'!J:J,"Skipped")</f>
        <v>0</v>
      </c>
      <c r="G11">
        <f>COUNTIFS('Test Cases'!B:B,$A11,'Test Cases'!J:J,"Not Run")</f>
        <v>24</v>
      </c>
      <c r="H11" s="4">
        <f t="shared" si="0"/>
        <v>0</v>
      </c>
    </row>
    <row r="12" spans="1:8">
      <c r="A12" t="s">
        <v>574</v>
      </c>
      <c r="B12">
        <f>COUNTIF('Test Cases'!B:B,A12)</f>
        <v>9</v>
      </c>
      <c r="C12">
        <f>COUNTIFS('Test Cases'!B:B,$A12,'Test Cases'!J:J,"Pass")</f>
        <v>0</v>
      </c>
      <c r="D12">
        <f>COUNTIFS('Test Cases'!B:B,$A12,'Test Cases'!J:J,"Fail")</f>
        <v>0</v>
      </c>
      <c r="E12">
        <f>COUNTIFS('Test Cases'!B:B,$A12,'Test Cases'!J:J,"Blocked")</f>
        <v>0</v>
      </c>
      <c r="F12">
        <f>COUNTIFS('Test Cases'!B:B,$A12,'Test Cases'!J:J,"Skipped")</f>
        <v>0</v>
      </c>
      <c r="G12">
        <f>COUNTIFS('Test Cases'!B:B,$A12,'Test Cases'!J:J,"Not Run")</f>
        <v>9</v>
      </c>
      <c r="H12" s="4">
        <f t="shared" si="0"/>
        <v>0</v>
      </c>
    </row>
    <row r="13" spans="1:8">
      <c r="A13" t="s">
        <v>603</v>
      </c>
      <c r="B13">
        <f>COUNTIF('Test Cases'!B:B,A13)</f>
        <v>8</v>
      </c>
      <c r="C13">
        <f>COUNTIFS('Test Cases'!B:B,$A13,'Test Cases'!J:J,"Pass")</f>
        <v>0</v>
      </c>
      <c r="D13">
        <f>COUNTIFS('Test Cases'!B:B,$A13,'Test Cases'!J:J,"Fail")</f>
        <v>0</v>
      </c>
      <c r="E13">
        <f>COUNTIFS('Test Cases'!B:B,$A13,'Test Cases'!J:J,"Blocked")</f>
        <v>0</v>
      </c>
      <c r="F13">
        <f>COUNTIFS('Test Cases'!B:B,$A13,'Test Cases'!J:J,"Skipped")</f>
        <v>0</v>
      </c>
      <c r="G13">
        <f>COUNTIFS('Test Cases'!B:B,$A13,'Test Cases'!J:J,"Not Run")</f>
        <v>8</v>
      </c>
      <c r="H13" s="4">
        <f t="shared" si="0"/>
        <v>0</v>
      </c>
    </row>
    <row r="14" spans="1:8">
      <c r="A14" t="s">
        <v>629</v>
      </c>
      <c r="B14">
        <f>COUNTIF('Test Cases'!B:B,A14)</f>
        <v>5</v>
      </c>
      <c r="C14">
        <f>COUNTIFS('Test Cases'!B:B,$A14,'Test Cases'!J:J,"Pass")</f>
        <v>0</v>
      </c>
      <c r="D14">
        <f>COUNTIFS('Test Cases'!B:B,$A14,'Test Cases'!J:J,"Fail")</f>
        <v>0</v>
      </c>
      <c r="E14">
        <f>COUNTIFS('Test Cases'!B:B,$A14,'Test Cases'!J:J,"Blocked")</f>
        <v>0</v>
      </c>
      <c r="F14">
        <f>COUNTIFS('Test Cases'!B:B,$A14,'Test Cases'!J:J,"Skipped")</f>
        <v>0</v>
      </c>
      <c r="G14">
        <f>COUNTIFS('Test Cases'!B:B,$A14,'Test Cases'!J:J,"Not Run")</f>
        <v>5</v>
      </c>
      <c r="H14" s="4">
        <f t="shared" si="0"/>
        <v>0</v>
      </c>
    </row>
    <row r="15" spans="1:8">
      <c r="A15" t="s">
        <v>644</v>
      </c>
      <c r="B15">
        <f>COUNTIF('Test Cases'!B:B,A15)</f>
        <v>4</v>
      </c>
      <c r="C15">
        <f>COUNTIFS('Test Cases'!B:B,$A15,'Test Cases'!J:J,"Pass")</f>
        <v>0</v>
      </c>
      <c r="D15">
        <f>COUNTIFS('Test Cases'!B:B,$A15,'Test Cases'!J:J,"Fail")</f>
        <v>0</v>
      </c>
      <c r="E15">
        <f>COUNTIFS('Test Cases'!B:B,$A15,'Test Cases'!J:J,"Blocked")</f>
        <v>0</v>
      </c>
      <c r="F15">
        <f>COUNTIFS('Test Cases'!B:B,$A15,'Test Cases'!J:J,"Skipped")</f>
        <v>0</v>
      </c>
      <c r="G15">
        <f>COUNTIFS('Test Cases'!B:B,$A15,'Test Cases'!J:J,"Not Run")</f>
        <v>4</v>
      </c>
      <c r="H15" s="4">
        <f t="shared" si="0"/>
        <v>0</v>
      </c>
    </row>
    <row r="16" spans="1:8">
      <c r="A16" t="s">
        <v>657</v>
      </c>
      <c r="B16">
        <f>COUNTIF('Test Cases'!B:B,A16)</f>
        <v>16</v>
      </c>
      <c r="C16">
        <f>COUNTIFS('Test Cases'!B:B,$A16,'Test Cases'!J:J,"Pass")</f>
        <v>0</v>
      </c>
      <c r="D16">
        <f>COUNTIFS('Test Cases'!B:B,$A16,'Test Cases'!J:J,"Fail")</f>
        <v>0</v>
      </c>
      <c r="E16">
        <f>COUNTIFS('Test Cases'!B:B,$A16,'Test Cases'!J:J,"Blocked")</f>
        <v>0</v>
      </c>
      <c r="F16">
        <f>COUNTIFS('Test Cases'!B:B,$A16,'Test Cases'!J:J,"Skipped")</f>
        <v>0</v>
      </c>
      <c r="G16">
        <f>COUNTIFS('Test Cases'!B:B,$A16,'Test Cases'!J:J,"Not Run")</f>
        <v>16</v>
      </c>
      <c r="H16" s="4">
        <f t="shared" si="0"/>
        <v>0</v>
      </c>
    </row>
    <row r="17" spans="1:8">
      <c r="A17" t="s">
        <v>705</v>
      </c>
      <c r="B17">
        <f>COUNTIF('Test Cases'!B:B,A17)</f>
        <v>5</v>
      </c>
      <c r="C17">
        <f>COUNTIFS('Test Cases'!B:B,$A17,'Test Cases'!J:J,"Pass")</f>
        <v>0</v>
      </c>
      <c r="D17">
        <f>COUNTIFS('Test Cases'!B:B,$A17,'Test Cases'!J:J,"Fail")</f>
        <v>0</v>
      </c>
      <c r="E17">
        <f>COUNTIFS('Test Cases'!B:B,$A17,'Test Cases'!J:J,"Blocked")</f>
        <v>0</v>
      </c>
      <c r="F17">
        <f>COUNTIFS('Test Cases'!B:B,$A17,'Test Cases'!J:J,"Skipped")</f>
        <v>0</v>
      </c>
      <c r="G17">
        <f>COUNTIFS('Test Cases'!B:B,$A17,'Test Cases'!J:J,"Not Run")</f>
        <v>5</v>
      </c>
      <c r="H17" s="4">
        <f t="shared" si="0"/>
        <v>0</v>
      </c>
    </row>
    <row r="18" spans="1:8">
      <c r="A18" t="s">
        <v>721</v>
      </c>
      <c r="B18">
        <f>COUNTIF('Test Cases'!B:B,A18)</f>
        <v>16</v>
      </c>
      <c r="C18">
        <f>COUNTIFS('Test Cases'!B:B,$A18,'Test Cases'!J:J,"Pass")</f>
        <v>0</v>
      </c>
      <c r="D18">
        <f>COUNTIFS('Test Cases'!B:B,$A18,'Test Cases'!J:J,"Fail")</f>
        <v>0</v>
      </c>
      <c r="E18">
        <f>COUNTIFS('Test Cases'!B:B,$A18,'Test Cases'!J:J,"Blocked")</f>
        <v>0</v>
      </c>
      <c r="F18">
        <f>COUNTIFS('Test Cases'!B:B,$A18,'Test Cases'!J:J,"Skipped")</f>
        <v>0</v>
      </c>
      <c r="G18">
        <f>COUNTIFS('Test Cases'!B:B,$A18,'Test Cases'!J:J,"Not Run")</f>
        <v>16</v>
      </c>
      <c r="H18" s="4">
        <f t="shared" si="0"/>
        <v>0</v>
      </c>
    </row>
    <row r="19" spans="1:8">
      <c r="A19" t="s">
        <v>770</v>
      </c>
      <c r="B19">
        <f>COUNTIF('Test Cases'!B:B,A19)</f>
        <v>8</v>
      </c>
      <c r="C19">
        <f>COUNTIFS('Test Cases'!B:B,$A19,'Test Cases'!J:J,"Pass")</f>
        <v>0</v>
      </c>
      <c r="D19">
        <f>COUNTIFS('Test Cases'!B:B,$A19,'Test Cases'!J:J,"Fail")</f>
        <v>0</v>
      </c>
      <c r="E19">
        <f>COUNTIFS('Test Cases'!B:B,$A19,'Test Cases'!J:J,"Blocked")</f>
        <v>0</v>
      </c>
      <c r="F19">
        <f>COUNTIFS('Test Cases'!B:B,$A19,'Test Cases'!J:J,"Skipped")</f>
        <v>0</v>
      </c>
      <c r="G19">
        <f>COUNTIFS('Test Cases'!B:B,$A19,'Test Cases'!J:J,"Not Run")</f>
        <v>8</v>
      </c>
      <c r="H19" s="4">
        <f t="shared" si="0"/>
        <v>0</v>
      </c>
    </row>
    <row r="20" spans="1:8">
      <c r="A20" t="s">
        <v>796</v>
      </c>
      <c r="B20">
        <f>COUNTIF('Test Cases'!B:B,A20)</f>
        <v>4</v>
      </c>
      <c r="C20">
        <f>COUNTIFS('Test Cases'!B:B,$A20,'Test Cases'!J:J,"Pass")</f>
        <v>0</v>
      </c>
      <c r="D20">
        <f>COUNTIFS('Test Cases'!B:B,$A20,'Test Cases'!J:J,"Fail")</f>
        <v>0</v>
      </c>
      <c r="E20">
        <f>COUNTIFS('Test Cases'!B:B,$A20,'Test Cases'!J:J,"Blocked")</f>
        <v>0</v>
      </c>
      <c r="F20">
        <f>COUNTIFS('Test Cases'!B:B,$A20,'Test Cases'!J:J,"Skipped")</f>
        <v>0</v>
      </c>
      <c r="G20">
        <f>COUNTIFS('Test Cases'!B:B,$A20,'Test Cases'!J:J,"Not Run")</f>
        <v>4</v>
      </c>
      <c r="H20" s="4">
        <f t="shared" si="0"/>
        <v>0</v>
      </c>
    </row>
    <row r="21" spans="1:8">
      <c r="A21" t="s">
        <v>813</v>
      </c>
      <c r="B21">
        <f>COUNTIF('Test Cases'!B:B,A21)</f>
        <v>6</v>
      </c>
      <c r="C21">
        <f>COUNTIFS('Test Cases'!B:B,$A21,'Test Cases'!J:J,"Pass")</f>
        <v>0</v>
      </c>
      <c r="D21">
        <f>COUNTIFS('Test Cases'!B:B,$A21,'Test Cases'!J:J,"Fail")</f>
        <v>0</v>
      </c>
      <c r="E21">
        <f>COUNTIFS('Test Cases'!B:B,$A21,'Test Cases'!J:J,"Blocked")</f>
        <v>0</v>
      </c>
      <c r="F21">
        <f>COUNTIFS('Test Cases'!B:B,$A21,'Test Cases'!J:J,"Skipped")</f>
        <v>0</v>
      </c>
      <c r="G21">
        <f>COUNTIFS('Test Cases'!B:B,$A21,'Test Cases'!J:J,"Not Run")</f>
        <v>6</v>
      </c>
      <c r="H21" s="4">
        <f t="shared" si="0"/>
        <v>0</v>
      </c>
    </row>
    <row r="22" spans="1:8">
      <c r="A22" t="s">
        <v>831</v>
      </c>
      <c r="B22">
        <f>COUNTIF('Test Cases'!B:B,A22)</f>
        <v>7</v>
      </c>
      <c r="C22">
        <f>COUNTIFS('Test Cases'!B:B,$A22,'Test Cases'!J:J,"Pass")</f>
        <v>0</v>
      </c>
      <c r="D22">
        <f>COUNTIFS('Test Cases'!B:B,$A22,'Test Cases'!J:J,"Fail")</f>
        <v>0</v>
      </c>
      <c r="E22">
        <f>COUNTIFS('Test Cases'!B:B,$A22,'Test Cases'!J:J,"Blocked")</f>
        <v>0</v>
      </c>
      <c r="F22">
        <f>COUNTIFS('Test Cases'!B:B,$A22,'Test Cases'!J:J,"Skipped")</f>
        <v>0</v>
      </c>
      <c r="G22">
        <f>COUNTIFS('Test Cases'!B:B,$A22,'Test Cases'!J:J,"Not Run")</f>
        <v>7</v>
      </c>
      <c r="H22" s="4">
        <f t="shared" si="0"/>
        <v>0</v>
      </c>
    </row>
    <row r="23" spans="1:8">
      <c r="A23" t="s">
        <v>853</v>
      </c>
      <c r="B23">
        <f>COUNTIF('Test Cases'!B:B,A23)</f>
        <v>10</v>
      </c>
      <c r="C23">
        <f>COUNTIFS('Test Cases'!B:B,$A23,'Test Cases'!J:J,"Pass")</f>
        <v>0</v>
      </c>
      <c r="D23">
        <f>COUNTIFS('Test Cases'!B:B,$A23,'Test Cases'!J:J,"Fail")</f>
        <v>0</v>
      </c>
      <c r="E23">
        <f>COUNTIFS('Test Cases'!B:B,$A23,'Test Cases'!J:J,"Blocked")</f>
        <v>0</v>
      </c>
      <c r="F23">
        <f>COUNTIFS('Test Cases'!B:B,$A23,'Test Cases'!J:J,"Skipped")</f>
        <v>0</v>
      </c>
      <c r="G23">
        <f>COUNTIFS('Test Cases'!B:B,$A23,'Test Cases'!J:J,"Not Run")</f>
        <v>10</v>
      </c>
      <c r="H23" s="4">
        <f t="shared" si="0"/>
        <v>0</v>
      </c>
    </row>
    <row r="24" spans="1:8">
      <c r="A24" t="s">
        <v>883</v>
      </c>
      <c r="B24">
        <f>COUNTIF('Test Cases'!B:B,A24)</f>
        <v>7</v>
      </c>
      <c r="C24">
        <f>COUNTIFS('Test Cases'!B:B,$A24,'Test Cases'!J:J,"Pass")</f>
        <v>0</v>
      </c>
      <c r="D24">
        <f>COUNTIFS('Test Cases'!B:B,$A24,'Test Cases'!J:J,"Fail")</f>
        <v>0</v>
      </c>
      <c r="E24">
        <f>COUNTIFS('Test Cases'!B:B,$A24,'Test Cases'!J:J,"Blocked")</f>
        <v>0</v>
      </c>
      <c r="F24">
        <f>COUNTIFS('Test Cases'!B:B,$A24,'Test Cases'!J:J,"Skipped")</f>
        <v>0</v>
      </c>
      <c r="G24">
        <f>COUNTIFS('Test Cases'!B:B,$A24,'Test Cases'!J:J,"Not Run")</f>
        <v>7</v>
      </c>
      <c r="H24" s="4">
        <f t="shared" si="0"/>
        <v>0</v>
      </c>
    </row>
    <row r="25" spans="1:8">
      <c r="A25" t="s">
        <v>905</v>
      </c>
      <c r="B25">
        <f>COUNTIF('Test Cases'!B:B,A25)</f>
        <v>2</v>
      </c>
      <c r="C25">
        <f>COUNTIFS('Test Cases'!B:B,$A25,'Test Cases'!J:J,"Pass")</f>
        <v>0</v>
      </c>
      <c r="D25">
        <f>COUNTIFS('Test Cases'!B:B,$A25,'Test Cases'!J:J,"Fail")</f>
        <v>0</v>
      </c>
      <c r="E25">
        <f>COUNTIFS('Test Cases'!B:B,$A25,'Test Cases'!J:J,"Blocked")</f>
        <v>0</v>
      </c>
      <c r="F25">
        <f>COUNTIFS('Test Cases'!B:B,$A25,'Test Cases'!J:J,"Skipped")</f>
        <v>0</v>
      </c>
      <c r="G25">
        <f>COUNTIFS('Test Cases'!B:B,$A25,'Test Cases'!J:J,"Not Run")</f>
        <v>2</v>
      </c>
      <c r="H25" s="4">
        <f t="shared" si="0"/>
        <v>0</v>
      </c>
    </row>
    <row r="26" spans="1:8">
      <c r="A26" t="s">
        <v>912</v>
      </c>
      <c r="B26">
        <f>COUNTIF('Test Cases'!B:B,A26)</f>
        <v>8</v>
      </c>
      <c r="C26">
        <f>COUNTIFS('Test Cases'!B:B,$A26,'Test Cases'!J:J,"Pass")</f>
        <v>0</v>
      </c>
      <c r="D26">
        <f>COUNTIFS('Test Cases'!B:B,$A26,'Test Cases'!J:J,"Fail")</f>
        <v>0</v>
      </c>
      <c r="E26">
        <f>COUNTIFS('Test Cases'!B:B,$A26,'Test Cases'!J:J,"Blocked")</f>
        <v>0</v>
      </c>
      <c r="F26">
        <f>COUNTIFS('Test Cases'!B:B,$A26,'Test Cases'!J:J,"Skipped")</f>
        <v>0</v>
      </c>
      <c r="G26">
        <f>COUNTIFS('Test Cases'!B:B,$A26,'Test Cases'!J:J,"Not Run")</f>
        <v>8</v>
      </c>
      <c r="H26" s="4">
        <f t="shared" si="0"/>
        <v>0</v>
      </c>
    </row>
    <row r="27" spans="1:8">
      <c r="A27" s="5" t="s">
        <v>945</v>
      </c>
      <c r="B27" s="5">
        <f t="shared" ref="B27:G27" si="1">SUM(B2:B26)</f>
        <v>275</v>
      </c>
      <c r="C27" s="5">
        <f t="shared" si="1"/>
        <v>51</v>
      </c>
      <c r="D27" s="5">
        <f t="shared" si="1"/>
        <v>2</v>
      </c>
      <c r="E27" s="5">
        <f t="shared" si="1"/>
        <v>0</v>
      </c>
      <c r="F27" s="5">
        <f t="shared" si="1"/>
        <v>3</v>
      </c>
      <c r="G27" s="5">
        <f t="shared" si="1"/>
        <v>219</v>
      </c>
      <c r="H27" s="6">
        <f t="shared" si="0"/>
        <v>0.20363636363636364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selection activeCell="A2" sqref="A2"/>
    </sheetView>
  </sheetViews>
  <sheetFormatPr defaultRowHeight="14.4"/>
  <cols>
    <col min="1" max="1" width="20" customWidth="1"/>
    <col min="2" max="2" width="120" customWidth="1"/>
  </cols>
  <sheetData>
    <row r="1" spans="1:2">
      <c r="A1" s="3" t="s">
        <v>946</v>
      </c>
      <c r="B1" s="3" t="s">
        <v>947</v>
      </c>
    </row>
    <row r="2" spans="1:2">
      <c r="A2" s="7" t="s">
        <v>948</v>
      </c>
      <c r="B2" s="7" t="s">
        <v>949</v>
      </c>
    </row>
    <row r="3" spans="1:2">
      <c r="A3" s="7" t="s">
        <v>950</v>
      </c>
      <c r="B3" s="7" t="s">
        <v>951</v>
      </c>
    </row>
    <row r="4" spans="1:2">
      <c r="A4" s="7" t="s">
        <v>952</v>
      </c>
      <c r="B4" s="7" t="s">
        <v>953</v>
      </c>
    </row>
    <row r="5" spans="1:2">
      <c r="A5" s="7" t="s">
        <v>954</v>
      </c>
      <c r="B5" s="7" t="s">
        <v>955</v>
      </c>
    </row>
    <row r="6" spans="1:2">
      <c r="A6" s="7" t="s">
        <v>956</v>
      </c>
      <c r="B6" s="7" t="s">
        <v>957</v>
      </c>
    </row>
    <row r="7" spans="1:2">
      <c r="A7" s="7" t="s">
        <v>958</v>
      </c>
      <c r="B7" s="7" t="s">
        <v>959</v>
      </c>
    </row>
    <row r="8" spans="1:2">
      <c r="A8" s="7" t="s">
        <v>960</v>
      </c>
      <c r="B8" s="7" t="s">
        <v>961</v>
      </c>
    </row>
    <row r="9" spans="1:2">
      <c r="A9" s="7" t="s">
        <v>962</v>
      </c>
      <c r="B9" s="7" t="s">
        <v>963</v>
      </c>
    </row>
    <row r="10" spans="1:2" ht="28.8">
      <c r="A10" s="7" t="s">
        <v>964</v>
      </c>
      <c r="B10" s="7" t="s">
        <v>965</v>
      </c>
    </row>
    <row r="11" spans="1:2">
      <c r="A11" s="7" t="s">
        <v>966</v>
      </c>
      <c r="B11" s="7" t="s">
        <v>967</v>
      </c>
    </row>
    <row r="12" spans="1:2">
      <c r="A12" s="7" t="s">
        <v>968</v>
      </c>
      <c r="B12" s="7" t="s">
        <v>969</v>
      </c>
    </row>
    <row r="13" spans="1:2">
      <c r="A13" s="7" t="s">
        <v>970</v>
      </c>
      <c r="B13" s="7" t="s">
        <v>971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7"/>
  <sheetViews>
    <sheetView workbookViewId="0">
      <selection activeCell="B52" sqref="B52"/>
    </sheetView>
  </sheetViews>
  <sheetFormatPr defaultRowHeight="14.4"/>
  <cols>
    <col min="1" max="1" width="30" customWidth="1"/>
    <col min="2" max="2" width="34" customWidth="1"/>
    <col min="3" max="3" width="20" customWidth="1"/>
    <col min="4" max="4" width="70" customWidth="1"/>
  </cols>
  <sheetData>
    <row r="1" spans="1:4">
      <c r="A1" s="3" t="s">
        <v>972</v>
      </c>
      <c r="B1" s="3" t="s">
        <v>973</v>
      </c>
      <c r="C1" s="3" t="s">
        <v>974</v>
      </c>
      <c r="D1" s="3" t="s">
        <v>975</v>
      </c>
    </row>
    <row r="2" spans="1:4">
      <c r="A2" t="s">
        <v>16</v>
      </c>
      <c r="B2" t="s">
        <v>17</v>
      </c>
      <c r="C2" t="s">
        <v>976</v>
      </c>
      <c r="D2" t="s">
        <v>977</v>
      </c>
    </row>
    <row r="3" spans="1:4">
      <c r="A3" t="s">
        <v>978</v>
      </c>
      <c r="B3" t="s">
        <v>128</v>
      </c>
      <c r="C3" t="s">
        <v>976</v>
      </c>
    </row>
    <row r="4" spans="1:4">
      <c r="A4" t="s">
        <v>231</v>
      </c>
      <c r="B4" t="s">
        <v>232</v>
      </c>
      <c r="C4" t="s">
        <v>976</v>
      </c>
      <c r="D4" t="s">
        <v>979</v>
      </c>
    </row>
    <row r="5" spans="1:4">
      <c r="A5" t="s">
        <v>980</v>
      </c>
      <c r="B5" t="s">
        <v>327</v>
      </c>
      <c r="C5" t="s">
        <v>976</v>
      </c>
      <c r="D5" t="s">
        <v>981</v>
      </c>
    </row>
    <row r="6" spans="1:4">
      <c r="A6" t="s">
        <v>368</v>
      </c>
      <c r="B6" t="s">
        <v>369</v>
      </c>
      <c r="C6" t="s">
        <v>982</v>
      </c>
    </row>
    <row r="7" spans="1:4">
      <c r="A7" t="s">
        <v>404</v>
      </c>
      <c r="B7" t="s">
        <v>405</v>
      </c>
      <c r="C7" t="s">
        <v>982</v>
      </c>
    </row>
    <row r="8" spans="1:4">
      <c r="A8" t="s">
        <v>983</v>
      </c>
      <c r="B8" t="s">
        <v>984</v>
      </c>
      <c r="C8" t="s">
        <v>985</v>
      </c>
      <c r="D8" t="s">
        <v>986</v>
      </c>
    </row>
    <row r="9" spans="1:4">
      <c r="A9" t="s">
        <v>987</v>
      </c>
      <c r="B9" t="s">
        <v>457</v>
      </c>
      <c r="C9" t="s">
        <v>976</v>
      </c>
    </row>
    <row r="10" spans="1:4">
      <c r="A10" t="s">
        <v>988</v>
      </c>
      <c r="B10" t="s">
        <v>490</v>
      </c>
      <c r="C10" t="s">
        <v>976</v>
      </c>
      <c r="D10" t="s">
        <v>989</v>
      </c>
    </row>
    <row r="11" spans="1:4">
      <c r="A11" t="s">
        <v>574</v>
      </c>
      <c r="B11" t="s">
        <v>575</v>
      </c>
      <c r="C11" t="s">
        <v>976</v>
      </c>
    </row>
    <row r="12" spans="1:4">
      <c r="A12" t="s">
        <v>990</v>
      </c>
      <c r="B12" t="s">
        <v>991</v>
      </c>
      <c r="C12" t="s">
        <v>976</v>
      </c>
    </row>
    <row r="13" spans="1:4">
      <c r="A13" t="s">
        <v>992</v>
      </c>
      <c r="B13" t="s">
        <v>993</v>
      </c>
      <c r="C13" t="s">
        <v>976</v>
      </c>
    </row>
    <row r="14" spans="1:4">
      <c r="A14" t="s">
        <v>644</v>
      </c>
      <c r="B14" t="s">
        <v>645</v>
      </c>
      <c r="C14" t="s">
        <v>976</v>
      </c>
    </row>
    <row r="15" spans="1:4">
      <c r="A15" t="s">
        <v>657</v>
      </c>
      <c r="B15" t="s">
        <v>658</v>
      </c>
      <c r="C15" t="s">
        <v>976</v>
      </c>
    </row>
    <row r="16" spans="1:4">
      <c r="A16" t="s">
        <v>994</v>
      </c>
      <c r="B16" t="s">
        <v>706</v>
      </c>
      <c r="C16" t="s">
        <v>976</v>
      </c>
    </row>
    <row r="17" spans="1:3">
      <c r="A17" t="s">
        <v>995</v>
      </c>
      <c r="B17" t="s">
        <v>722</v>
      </c>
      <c r="C17" t="s">
        <v>976</v>
      </c>
    </row>
    <row r="18" spans="1:3">
      <c r="A18" t="s">
        <v>770</v>
      </c>
      <c r="B18" t="s">
        <v>771</v>
      </c>
      <c r="C18" t="s">
        <v>976</v>
      </c>
    </row>
    <row r="19" spans="1:3">
      <c r="A19" t="s">
        <v>796</v>
      </c>
      <c r="B19" t="s">
        <v>797</v>
      </c>
      <c r="C19" t="s">
        <v>982</v>
      </c>
    </row>
    <row r="20" spans="1:3">
      <c r="A20" t="s">
        <v>106</v>
      </c>
      <c r="B20" t="s">
        <v>996</v>
      </c>
      <c r="C20" t="s">
        <v>976</v>
      </c>
    </row>
    <row r="21" spans="1:3">
      <c r="A21" t="s">
        <v>997</v>
      </c>
      <c r="B21" t="s">
        <v>998</v>
      </c>
      <c r="C21" t="s">
        <v>976</v>
      </c>
    </row>
    <row r="22" spans="1:3">
      <c r="A22" t="s">
        <v>999</v>
      </c>
      <c r="B22" t="s">
        <v>1000</v>
      </c>
      <c r="C22" t="s">
        <v>976</v>
      </c>
    </row>
    <row r="23" spans="1:3">
      <c r="A23" t="s">
        <v>1001</v>
      </c>
      <c r="B23" t="s">
        <v>1002</v>
      </c>
      <c r="C23" t="s">
        <v>976</v>
      </c>
    </row>
    <row r="24" spans="1:3">
      <c r="A24" t="s">
        <v>1003</v>
      </c>
      <c r="B24" t="s">
        <v>1004</v>
      </c>
      <c r="C24" t="s">
        <v>976</v>
      </c>
    </row>
    <row r="25" spans="1:3">
      <c r="A25" t="s">
        <v>853</v>
      </c>
      <c r="B25" t="s">
        <v>1005</v>
      </c>
      <c r="C25" t="s">
        <v>976</v>
      </c>
    </row>
    <row r="26" spans="1:3">
      <c r="A26" t="s">
        <v>1006</v>
      </c>
      <c r="B26" t="s">
        <v>1007</v>
      </c>
      <c r="C26" t="s">
        <v>976</v>
      </c>
    </row>
    <row r="27" spans="1:3">
      <c r="A27" t="s">
        <v>1008</v>
      </c>
      <c r="B27" t="s">
        <v>906</v>
      </c>
      <c r="C27" t="s">
        <v>976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Cases</vt:lpstr>
      <vt:lpstr>Summary</vt:lpstr>
      <vt:lpstr>Test Data &amp; Setup</vt:lpstr>
      <vt:lpstr>Page 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Sabuja Mishra</cp:lastModifiedBy>
  <dcterms:created xsi:type="dcterms:W3CDTF">2026-10-02T04:16:05Z</dcterms:created>
  <dcterms:modified xsi:type="dcterms:W3CDTF">2026-10-02T11:01:36Z</dcterms:modified>
</cp:coreProperties>
</file>